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7" documentId="8_{DFCB54DD-1C3A-4790-AC19-FE056F1EBC9C}" xr6:coauthVersionLast="47" xr6:coauthVersionMax="47" xr10:uidLastSave="{B2A794E8-D5E7-4054-9530-83F38AD4EF13}"/>
  <bookViews>
    <workbookView xWindow="-110" yWindow="-110" windowWidth="25820" windowHeight="13900" tabRatio="500" activeTab="1" xr2:uid="{00000000-000D-0000-FFFF-FFFF00000000}"/>
  </bookViews>
  <sheets>
    <sheet name="คำอธิบาย" sheetId="1" r:id="rId1"/>
    <sheet name="กรอกข้อมูล" sheetId="2" r:id="rId2"/>
  </sheets>
  <definedNames>
    <definedName name="_xlnm._FilterDatabase" localSheetId="1" hidden="1">กรอกข้อมูล!$A$2:$S$48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2" l="1"/>
  <c r="G48" i="2" s="1"/>
  <c r="L48" i="2" s="1"/>
  <c r="M48" i="2" s="1"/>
  <c r="F47" i="2"/>
  <c r="G47" i="2" s="1"/>
  <c r="L47" i="2" s="1"/>
  <c r="M47" i="2" s="1"/>
  <c r="F46" i="2"/>
  <c r="G46" i="2" s="1"/>
  <c r="L46" i="2" s="1"/>
  <c r="M46" i="2" s="1"/>
  <c r="F45" i="2"/>
  <c r="G45" i="2" s="1"/>
  <c r="L45" i="2" s="1"/>
  <c r="M45" i="2" s="1"/>
  <c r="F44" i="2"/>
  <c r="G44" i="2" s="1"/>
  <c r="L44" i="2" s="1"/>
  <c r="M44" i="2" s="1"/>
  <c r="F43" i="2"/>
  <c r="G43" i="2" s="1"/>
  <c r="L43" i="2" s="1"/>
  <c r="M43" i="2" s="1"/>
  <c r="F42" i="2"/>
  <c r="G42" i="2" s="1"/>
  <c r="L42" i="2" s="1"/>
  <c r="M42" i="2" s="1"/>
  <c r="F41" i="2"/>
  <c r="G41" i="2" s="1"/>
  <c r="L41" i="2" s="1"/>
  <c r="M41" i="2" s="1"/>
  <c r="F40" i="2"/>
  <c r="G40" i="2" s="1"/>
  <c r="L40" i="2" s="1"/>
  <c r="M40" i="2" s="1"/>
  <c r="F39" i="2"/>
  <c r="G39" i="2" s="1"/>
  <c r="L39" i="2" s="1"/>
  <c r="M39" i="2" s="1"/>
  <c r="F38" i="2"/>
  <c r="G38" i="2" s="1"/>
  <c r="L38" i="2" s="1"/>
  <c r="M38" i="2" s="1"/>
  <c r="F37" i="2"/>
  <c r="G37" i="2" s="1"/>
  <c r="L37" i="2" s="1"/>
  <c r="M37" i="2" s="1"/>
  <c r="F36" i="2"/>
  <c r="G36" i="2" s="1"/>
  <c r="L36" i="2" s="1"/>
  <c r="M36" i="2" s="1"/>
  <c r="F35" i="2"/>
  <c r="G35" i="2" s="1"/>
  <c r="L35" i="2" s="1"/>
  <c r="M35" i="2" s="1"/>
  <c r="F34" i="2"/>
  <c r="G34" i="2" s="1"/>
  <c r="L34" i="2" s="1"/>
  <c r="M34" i="2" s="1"/>
  <c r="F33" i="2"/>
  <c r="G33" i="2" s="1"/>
  <c r="L33" i="2" s="1"/>
  <c r="M33" i="2" s="1"/>
  <c r="F32" i="2"/>
  <c r="G32" i="2" s="1"/>
  <c r="L32" i="2" s="1"/>
  <c r="M32" i="2" s="1"/>
  <c r="F31" i="2"/>
  <c r="G31" i="2" s="1"/>
  <c r="L31" i="2" s="1"/>
  <c r="M31" i="2" s="1"/>
  <c r="F30" i="2"/>
  <c r="G30" i="2" s="1"/>
  <c r="L30" i="2" s="1"/>
  <c r="M30" i="2" s="1"/>
  <c r="F29" i="2"/>
  <c r="G29" i="2" s="1"/>
  <c r="L29" i="2" s="1"/>
  <c r="M29" i="2" s="1"/>
  <c r="F28" i="2"/>
  <c r="G28" i="2" s="1"/>
  <c r="L28" i="2" s="1"/>
  <c r="M28" i="2" s="1"/>
  <c r="F27" i="2"/>
  <c r="G27" i="2" s="1"/>
  <c r="L27" i="2" s="1"/>
  <c r="M27" i="2" s="1"/>
  <c r="F26" i="2"/>
  <c r="G26" i="2" s="1"/>
  <c r="L26" i="2" s="1"/>
  <c r="M26" i="2" s="1"/>
  <c r="F25" i="2"/>
  <c r="G25" i="2" s="1"/>
  <c r="L25" i="2" s="1"/>
  <c r="M25" i="2" s="1"/>
  <c r="F24" i="2"/>
  <c r="G24" i="2" s="1"/>
  <c r="L24" i="2" s="1"/>
  <c r="M24" i="2" s="1"/>
  <c r="F23" i="2"/>
  <c r="G23" i="2" s="1"/>
  <c r="L23" i="2" s="1"/>
  <c r="M23" i="2" s="1"/>
  <c r="F22" i="2"/>
  <c r="G22" i="2" s="1"/>
  <c r="L22" i="2" s="1"/>
  <c r="M22" i="2" s="1"/>
  <c r="F21" i="2"/>
  <c r="G21" i="2" s="1"/>
  <c r="L21" i="2" s="1"/>
  <c r="M21" i="2" s="1"/>
  <c r="F20" i="2"/>
  <c r="G20" i="2" s="1"/>
  <c r="L20" i="2" s="1"/>
  <c r="M20" i="2" s="1"/>
  <c r="F19" i="2"/>
  <c r="G19" i="2" s="1"/>
  <c r="L19" i="2" s="1"/>
  <c r="M19" i="2" s="1"/>
  <c r="F18" i="2"/>
  <c r="G18" i="2" s="1"/>
  <c r="L18" i="2" s="1"/>
  <c r="M18" i="2" s="1"/>
  <c r="F17" i="2"/>
  <c r="G17" i="2" s="1"/>
  <c r="L17" i="2" s="1"/>
  <c r="M17" i="2" s="1"/>
  <c r="F16" i="2"/>
  <c r="G16" i="2" s="1"/>
  <c r="L16" i="2" s="1"/>
  <c r="M16" i="2" s="1"/>
  <c r="F15" i="2"/>
  <c r="G15" i="2" s="1"/>
  <c r="L15" i="2" s="1"/>
  <c r="M15" i="2" s="1"/>
  <c r="F14" i="2"/>
  <c r="G14" i="2" s="1"/>
  <c r="L14" i="2" s="1"/>
  <c r="M14" i="2" s="1"/>
  <c r="F13" i="2"/>
  <c r="G13" i="2" s="1"/>
  <c r="L13" i="2" s="1"/>
  <c r="M13" i="2" s="1"/>
  <c r="F12" i="2"/>
  <c r="G12" i="2" s="1"/>
  <c r="L12" i="2" s="1"/>
  <c r="M12" i="2" s="1"/>
  <c r="F11" i="2"/>
  <c r="G11" i="2" s="1"/>
  <c r="L11" i="2" s="1"/>
  <c r="M11" i="2" s="1"/>
  <c r="F10" i="2"/>
  <c r="G10" i="2" s="1"/>
  <c r="L10" i="2" s="1"/>
  <c r="M10" i="2" s="1"/>
  <c r="F9" i="2"/>
  <c r="G9" i="2" s="1"/>
  <c r="L9" i="2" s="1"/>
  <c r="M9" i="2" s="1"/>
  <c r="F8" i="2"/>
  <c r="G8" i="2" s="1"/>
  <c r="L8" i="2" s="1"/>
  <c r="M8" i="2" s="1"/>
  <c r="F7" i="2"/>
  <c r="G7" i="2" s="1"/>
  <c r="L7" i="2" s="1"/>
  <c r="M7" i="2" s="1"/>
  <c r="F6" i="2"/>
  <c r="G6" i="2" s="1"/>
  <c r="L6" i="2" s="1"/>
  <c r="M6" i="2" s="1"/>
  <c r="F5" i="2"/>
  <c r="G5" i="2" s="1"/>
  <c r="L5" i="2" s="1"/>
  <c r="M5" i="2" s="1"/>
  <c r="F4" i="2"/>
  <c r="G4" i="2" s="1"/>
  <c r="L4" i="2" s="1"/>
  <c r="M4" i="2" s="1"/>
  <c r="F3" i="2"/>
  <c r="G3" i="2" s="1"/>
  <c r="L3" i="2" s="1"/>
  <c r="M3" i="2" s="1"/>
</calcChain>
</file>

<file path=xl/sharedStrings.xml><?xml version="1.0" encoding="utf-8"?>
<sst xmlns="http://schemas.openxmlformats.org/spreadsheetml/2006/main" count="275" uniqueCount="189">
  <si>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</si>
  <si>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</si>
  <si>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</si>
  <si>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</si>
  <si>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</si>
  <si>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</si>
  <si>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</si>
  <si>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</si>
  <si>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</si>
  <si>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</si>
  <si>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</si>
  <si>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</si>
  <si>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</si>
  <si>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</si>
  <si>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</si>
  <si>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</si>
  <si>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</si>
  <si>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</si>
  <si>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</si>
  <si>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</si>
  <si>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</si>
  <si>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</si>
  <si>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</si>
  <si>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</si>
  <si>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</si>
  <si>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</si>
  <si>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</si>
  <si>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</si>
  <si>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</si>
  <si>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</si>
  <si>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</si>
  <si>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</si>
  <si>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</si>
  <si>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</si>
  <si>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</si>
  <si>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</si>
  <si>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</si>
  <si>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</si>
  <si>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</si>
  <si>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</si>
  <si>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</si>
  <si>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</si>
  <si>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</si>
  <si>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</si>
  <si>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</si>
  <si>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</si>
  <si>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</si>
  <si>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</si>
  <si>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</si>
  <si>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</si>
  <si>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</si>
  <si>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</si>
  <si>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</si>
  <si>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</si>
  <si>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</si>
  <si>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</si>
  <si>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</si>
  <si>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</si>
  <si>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</si>
  <si>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</si>
  <si>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</si>
  <si>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</si>
  <si>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</si>
  <si>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</si>
  <si>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</si>
  <si>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</si>
  <si>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</si>
  <si>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</si>
  <si>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</si>
  <si>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</si>
  <si>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</si>
  <si>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</si>
  <si>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</si>
  <si>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</si>
  <si>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</si>
  <si>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</si>
  <si>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</si>
  <si>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</si>
  <si>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</si>
  <si>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</si>
  <si>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</si>
  <si>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</si>
  <si>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</si>
  <si>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</si>
  <si>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</si>
  <si>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</si>
  <si>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กฤษฎา น้อมสูงเนิน</t>
  </si>
  <si>
    <t>Section Manager - Inspection and Packing</t>
  </si>
  <si>
    <t>Key Position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</si>
  <si>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</si>
  <si>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</si>
  <si>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</si>
  <si>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</si>
  <si>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</si>
  <si>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</si>
  <si>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</si>
  <si>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</si>
  <si>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</si>
  <si>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</si>
  <si>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</si>
  <si>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</si>
  <si>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</si>
  <si>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</si>
  <si>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</si>
  <si>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</si>
  <si>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วัชระ สะติรัน</t>
  </si>
  <si>
    <t>Acting Department Manager - Batch and Furnace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</si>
  <si>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</si>
  <si>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</si>
  <si>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</si>
  <si>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</si>
  <si>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</si>
  <si>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</si>
  <si>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</si>
  <si>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</si>
  <si>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เวชยันต์ เงินศรีสุข</t>
  </si>
  <si>
    <t>Section Manager - Design &amp; Creative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</si>
  <si>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</si>
  <si>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</si>
  <si>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</si>
  <si>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</si>
  <si>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268029 A</t>
  </si>
  <si>
    <t>วุฒิชัย แสงสมชัยพิพัฒน์</t>
  </si>
  <si>
    <t>Acting Department Manager - Production Support &amp; Finished Products</t>
  </si>
  <si>
    <t>Tarun Khattar</t>
  </si>
  <si>
    <t>Customer &amp; Channel Development Director - South Asia and Middle East</t>
  </si>
  <si>
    <t>Linqing Cai</t>
  </si>
  <si>
    <t>Senior Business Development Manager-China</t>
  </si>
  <si>
    <t>2. ผลกระทบหากตำแหน่งนี้ว่าง (Risk of Vacancy) — แกน X</t>
  </si>
  <si>
    <t>1. ผลกระทบต่อธุรกิจ (Business Impact) — แกน Y</t>
  </si>
  <si>
    <t>1. ไปที่ Sheet 'กรอกข้อมูล'</t>
  </si>
  <si>
    <t>Key Position (B)</t>
  </si>
  <si>
    <t>Key Position (A)</t>
  </si>
  <si>
    <t>กรัณย์ ริยะการ</t>
  </si>
  <si>
    <t>Manager - Risk and Compliance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</si>
  <si>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</si>
  <si>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</si>
  <si>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</si>
  <si>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</si>
  <si>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นฤพนธ์ ชูชีพ</t>
  </si>
  <si>
    <t>Senior Officer - Employee Experience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</si>
  <si>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</si>
  <si>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</si>
  <si>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</si>
  <si>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</si>
  <si>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</si>
  <si>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</si>
  <si>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</si>
  <si>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</si>
  <si>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</si>
  <si>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</si>
  <si>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</si>
  <si>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</si>
  <si>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</si>
  <si>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</si>
  <si>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</si>
  <si>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</si>
  <si>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</si>
  <si>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</si>
  <si>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</si>
  <si>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</si>
  <si>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</si>
  <si>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</si>
  <si>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</si>
  <si>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</si>
  <si>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</si>
  <si>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</si>
  <si>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</si>
  <si>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</si>
  <si>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</si>
  <si>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</si>
  <si>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</si>
  <si>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</si>
  <si>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</si>
  <si>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</si>
  <si>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</si>
  <si>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</si>
  <si>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</si>
  <si>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</si>
  <si>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</si>
  <si>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</si>
  <si>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</si>
  <si>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</si>
  <si>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สายงาน</t>
  </si>
  <si>
    <t>QMT</t>
  </si>
  <si>
    <t>CCD</t>
  </si>
  <si>
    <t>MFG</t>
  </si>
  <si>
    <t>MKT</t>
  </si>
  <si>
    <t>CHR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</si>
</sst>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9.5"/>
      <name val="Arial"/>
      <family val="2"/>
    </font>
    <font>
      <b/>
      <sz val="9.5"/>
      <color theme="0"/>
      <name val="Arial"/>
      <family val="2"/>
    </font>
    <font>
      <b/>
      <sz val="13"/>
      <name val="Arial"/>
      <family val="2"/>
    </font>
    <font>
      <b/>
      <sz val="9.5"/>
      <name val="Arial"/>
      <family val="2"/>
    </font>
    <font>
      <i/>
      <sz val="9.5"/>
      <name val="Arial"/>
      <family val="2"/>
    </font>
    <font>
      <b/>
      <sz val="14"/>
      <name val="Arial"/>
      <family val="2"/>
    </font>
    <font>
      <b/>
      <sz val="10.5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FFFF"/>
        <bgColor rgb="FFF5F5F5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12" borderId="0" xfId="0" applyFont="1" applyFill="1" applyAlignment="1">
      <alignment horizontal="center"/>
    </xf>
    <xf numFmtId="0" fontId="2" fillId="9" borderId="1" xfId="0" applyFont="1" applyFill="1" applyBorder="1" applyAlignment="1">
      <alignment horizontal="center" vertical="center" shrinkToFit="1"/>
    </xf>
    <xf numFmtId="0" fontId="2" fillId="11" borderId="1" xfId="0" applyFont="1" applyFill="1" applyBorder="1" applyAlignment="1">
      <alignment horizontal="center" vertical="center" shrinkToFit="1"/>
    </xf>
    <xf numFmtId="0" fontId="1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 shrinkToFit="1"/>
    </xf>
    <xf numFmtId="0" fontId="4" fillId="2" borderId="0" xfId="0" applyFont="1" applyFill="1" applyAlignment="1">
      <alignment horizontal="left" vertical="center" indent="1"/>
    </xf>
    <xf numFmtId="0" fontId="1" fillId="0" borderId="0" xfId="0" applyFont="1"/>
    <xf numFmtId="0" fontId="2" fillId="9" borderId="1" xfId="0" applyFont="1" applyFill="1" applyBorder="1" applyAlignment="1">
      <alignment vertical="center" shrinkToFit="1"/>
    </xf>
    <xf numFmtId="14" fontId="2" fillId="9" borderId="1" xfId="0" applyNumberFormat="1" applyFont="1" applyFill="1" applyBorder="1" applyAlignment="1">
      <alignment horizontal="center" vertical="center" shrinkToFit="1"/>
    </xf>
    <xf numFmtId="0" fontId="6" fillId="9" borderId="1" xfId="0" applyFont="1" applyFill="1" applyBorder="1" applyAlignment="1">
      <alignment horizontal="center" vertical="center" shrinkToFit="1"/>
    </xf>
    <xf numFmtId="0" fontId="5" fillId="10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shrinkToFit="1"/>
    </xf>
    <xf numFmtId="0" fontId="2" fillId="11" borderId="1" xfId="0" applyFont="1" applyFill="1" applyBorder="1" applyAlignment="1">
      <alignment vertical="center" shrinkToFit="1"/>
    </xf>
    <xf numFmtId="14" fontId="2" fillId="11" borderId="1" xfId="0" applyNumberFormat="1" applyFont="1" applyFill="1" applyBorder="1" applyAlignment="1">
      <alignment horizontal="center" vertical="center" shrinkToFit="1"/>
    </xf>
    <xf numFmtId="0" fontId="6" fillId="11" borderId="1" xfId="0" applyFont="1" applyFill="1" applyBorder="1" applyAlignment="1">
      <alignment horizontal="center" vertical="center" shrinkToFit="1"/>
    </xf>
    <xf numFmtId="0" fontId="5" fillId="11" borderId="1" xfId="0" applyFont="1" applyFill="1" applyBorder="1" applyAlignment="1">
      <alignment horizontal="center" vertical="center" shrinkToFit="1"/>
    </xf>
    <xf numFmtId="0" fontId="1" fillId="0" borderId="0" xfId="0" applyFont="1" applyAlignment="1">
      <alignment shrinkToFit="1"/>
    </xf>
    <xf numFmtId="0" fontId="7" fillId="2" borderId="0" xfId="0" applyFont="1" applyFill="1" applyAlignment="1">
      <alignment horizontal="left" vertical="center" indent="1"/>
    </xf>
    <xf numFmtId="0" fontId="8" fillId="0" borderId="0" xfId="0" applyFont="1" applyAlignment="1">
      <alignment vertical="center" wrapText="1" indent="1"/>
    </xf>
    <xf numFmtId="0" fontId="9" fillId="3" borderId="0" xfId="0" applyFont="1" applyFill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vertical="center" indent="1"/>
    </xf>
    <xf numFmtId="0" fontId="11" fillId="0" borderId="0" xfId="0" applyFont="1" applyAlignment="1">
      <alignment vertical="center" wrapText="1" indent="1"/>
    </xf>
    <xf numFmtId="0" fontId="2" fillId="0" borderId="0" xfId="0" applyFont="1" applyAlignment="1">
      <alignment vertical="center" wrapText="1" indent="2"/>
    </xf>
    <xf numFmtId="0" fontId="10" fillId="0" borderId="2" xfId="0" applyFont="1" applyBorder="1" applyAlignment="1">
      <alignment vertical="center" indent="2"/>
    </xf>
    <xf numFmtId="0" fontId="11" fillId="0" borderId="2" xfId="0" applyFont="1" applyBorder="1" applyAlignment="1">
      <alignment horizontal="center" vertical="center"/>
    </xf>
    <xf numFmtId="0" fontId="11" fillId="5" borderId="2" xfId="0" applyFont="1" applyFill="1" applyBorder="1" applyAlignment="1">
      <alignment vertical="center" indent="1"/>
    </xf>
    <xf numFmtId="0" fontId="11" fillId="6" borderId="2" xfId="0" applyFont="1" applyFill="1" applyBorder="1" applyAlignment="1">
      <alignment vertical="center" indent="1"/>
    </xf>
    <xf numFmtId="0" fontId="11" fillId="7" borderId="2" xfId="0" applyFont="1" applyFill="1" applyBorder="1" applyAlignment="1">
      <alignment vertical="center" indent="1"/>
    </xf>
    <xf numFmtId="0" fontId="11" fillId="8" borderId="2" xfId="0" applyFont="1" applyFill="1" applyBorder="1" applyAlignment="1">
      <alignment vertical="center" inden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5F5F5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76"/>
  <sheetViews>
    <sheetView showGridLines="0" zoomScaleNormal="100" workbookViewId="0">
      <selection activeCell="C9" sqref="C9:G9"/>
    </sheetView>
  </sheetViews>
  <sheetFormatPr defaultColWidth="8.6328125" defaultRowHeight="14.5" x14ac:dyDescent="0.35"/>
  <cols>
    <col min="1" max="1" width="1.36328125" style="7" customWidth="1"/>
    <col min="2" max="2" width="14" style="7" customWidth="1"/>
    <col min="3" max="3" width="46" style="7" customWidth="1"/>
    <col min="4" max="7" width="14" style="7" customWidth="1"/>
    <col min="8" max="16384" width="8.6328125" style="7"/>
  </cols>
  <sheetData>
    <row r="2" spans="2:7" ht="36" customHeight="1" x14ac:dyDescent="0.35">
      <c r="B2" s="18" t="s">
        <v>0</v>
      </c>
      <c r="C2" s="18"/>
      <c r="D2" s="18"/>
      <c r="E2" s="18"/>
      <c r="F2" s="18"/>
      <c r="G2" s="18"/>
    </row>
    <row r="4" spans="2:7" ht="19.5" customHeight="1" x14ac:dyDescent="0.35">
      <c r="B4" s="19" t="s">
        <v>1</v>
      </c>
      <c r="C4" s="19"/>
      <c r="D4" s="19"/>
      <c r="E4" s="19"/>
      <c r="F4" s="19"/>
      <c r="G4" s="19"/>
    </row>
    <row r="6" spans="2:7" ht="25.5" customHeight="1" x14ac:dyDescent="0.35">
      <c r="B6" s="20" t="s">
        <v>129</v>
      </c>
      <c r="C6" s="20"/>
      <c r="D6" s="20"/>
      <c r="E6" s="20"/>
      <c r="F6" s="20"/>
      <c r="G6" s="20"/>
    </row>
    <row r="7" spans="2:7" ht="19.5" customHeight="1" x14ac:dyDescent="0.35">
      <c r="B7" s="21" t="s">
        <v>2</v>
      </c>
      <c r="C7" s="21"/>
      <c r="D7" s="21"/>
      <c r="E7" s="21"/>
      <c r="F7" s="21"/>
      <c r="G7" s="21"/>
    </row>
    <row r="8" spans="2:7" x14ac:dyDescent="0.35">
      <c r="B8" s="22" t="s">
        <v>3</v>
      </c>
      <c r="C8" s="23" t="s">
        <v>4</v>
      </c>
      <c r="D8" s="23"/>
      <c r="E8" s="23"/>
      <c r="F8" s="23"/>
      <c r="G8" s="23"/>
    </row>
    <row r="9" spans="2:7" x14ac:dyDescent="0.35">
      <c r="B9" s="24">
        <v>1</v>
      </c>
      <c r="C9" s="25" t="s">
        <v>5</v>
      </c>
      <c r="D9" s="25"/>
      <c r="E9" s="25"/>
      <c r="F9" s="25"/>
      <c r="G9" s="25"/>
    </row>
    <row r="10" spans="2:7" x14ac:dyDescent="0.35">
      <c r="B10" s="24">
        <v>2</v>
      </c>
      <c r="C10" s="25" t="s">
        <v>6</v>
      </c>
      <c r="D10" s="25"/>
      <c r="E10" s="25"/>
      <c r="F10" s="25"/>
      <c r="G10" s="25"/>
    </row>
    <row r="11" spans="2:7" x14ac:dyDescent="0.35">
      <c r="B11" s="24">
        <v>3</v>
      </c>
      <c r="C11" s="25" t="s">
        <v>7</v>
      </c>
      <c r="D11" s="25"/>
      <c r="E11" s="25"/>
      <c r="F11" s="25"/>
      <c r="G11" s="25"/>
    </row>
    <row r="12" spans="2:7" x14ac:dyDescent="0.35">
      <c r="B12" s="24">
        <v>4</v>
      </c>
      <c r="C12" s="25" t="s">
        <v>8</v>
      </c>
      <c r="D12" s="25"/>
      <c r="E12" s="25"/>
      <c r="F12" s="25"/>
      <c r="G12" s="25"/>
    </row>
    <row r="13" spans="2:7" x14ac:dyDescent="0.35">
      <c r="B13" s="24">
        <v>5</v>
      </c>
      <c r="C13" s="25" t="s">
        <v>9</v>
      </c>
      <c r="D13" s="25"/>
      <c r="E13" s="25"/>
      <c r="F13" s="25"/>
      <c r="G13" s="25"/>
    </row>
    <row r="15" spans="2:7" ht="19.5" customHeight="1" x14ac:dyDescent="0.35">
      <c r="B15" s="26" t="s">
        <v>10</v>
      </c>
      <c r="C15" s="26"/>
      <c r="D15" s="26"/>
      <c r="E15" s="26"/>
      <c r="F15" s="26"/>
      <c r="G15" s="26"/>
    </row>
    <row r="16" spans="2:7" ht="19.5" customHeight="1" x14ac:dyDescent="0.35">
      <c r="B16" s="27" t="s">
        <v>11</v>
      </c>
      <c r="C16" s="27"/>
      <c r="D16" s="27"/>
      <c r="E16" s="27"/>
      <c r="F16" s="27"/>
      <c r="G16" s="27"/>
    </row>
    <row r="17" spans="2:7" ht="19.5" customHeight="1" x14ac:dyDescent="0.35">
      <c r="B17" s="27" t="s">
        <v>12</v>
      </c>
      <c r="C17" s="27"/>
      <c r="D17" s="27"/>
      <c r="E17" s="27"/>
      <c r="F17" s="27"/>
      <c r="G17" s="27"/>
    </row>
    <row r="18" spans="2:7" ht="19.5" customHeight="1" x14ac:dyDescent="0.35">
      <c r="B18" s="27" t="s">
        <v>13</v>
      </c>
      <c r="C18" s="27"/>
      <c r="D18" s="27"/>
      <c r="E18" s="27"/>
      <c r="F18" s="27"/>
      <c r="G18" s="27"/>
    </row>
    <row r="19" spans="2:7" ht="19.5" customHeight="1" x14ac:dyDescent="0.35">
      <c r="B19" s="27" t="s">
        <v>14</v>
      </c>
      <c r="C19" s="27"/>
      <c r="D19" s="27"/>
      <c r="E19" s="27"/>
      <c r="F19" s="27"/>
      <c r="G19" s="27"/>
    </row>
    <row r="20" spans="2:7" ht="19.5" customHeight="1" x14ac:dyDescent="0.35">
      <c r="B20" s="27" t="s">
        <v>15</v>
      </c>
      <c r="C20" s="27"/>
      <c r="D20" s="27"/>
      <c r="E20" s="27"/>
      <c r="F20" s="27"/>
      <c r="G20" s="27"/>
    </row>
    <row r="22" spans="2:7" ht="25.5" customHeight="1" x14ac:dyDescent="0.35">
      <c r="B22" s="20" t="s">
        <v>128</v>
      </c>
      <c r="C22" s="20"/>
      <c r="D22" s="20"/>
      <c r="E22" s="20"/>
      <c r="F22" s="20"/>
      <c r="G22" s="20"/>
    </row>
    <row r="23" spans="2:7" ht="19.5" customHeight="1" x14ac:dyDescent="0.35">
      <c r="B23" s="26" t="s">
        <v>16</v>
      </c>
      <c r="C23" s="26"/>
      <c r="D23" s="26"/>
      <c r="E23" s="26"/>
      <c r="F23" s="26"/>
      <c r="G23" s="26"/>
    </row>
    <row r="25" spans="2:7" ht="19.5" customHeight="1" x14ac:dyDescent="0.35">
      <c r="B25" s="26" t="s">
        <v>17</v>
      </c>
      <c r="C25" s="26"/>
      <c r="D25" s="26"/>
      <c r="E25" s="26"/>
      <c r="F25" s="26"/>
      <c r="G25" s="26"/>
    </row>
    <row r="26" spans="2:7" x14ac:dyDescent="0.35">
      <c r="B26" s="28" t="s">
        <v>18</v>
      </c>
      <c r="C26" s="28"/>
      <c r="D26" s="28"/>
      <c r="E26" s="28"/>
      <c r="F26" s="29" t="s">
        <v>19</v>
      </c>
      <c r="G26" s="29"/>
    </row>
    <row r="27" spans="2:7" x14ac:dyDescent="0.35">
      <c r="B27" s="28" t="s">
        <v>20</v>
      </c>
      <c r="C27" s="28"/>
      <c r="D27" s="28"/>
      <c r="E27" s="28"/>
      <c r="F27" s="29" t="s">
        <v>21</v>
      </c>
      <c r="G27" s="29"/>
    </row>
    <row r="28" spans="2:7" x14ac:dyDescent="0.35">
      <c r="B28" s="28" t="s">
        <v>22</v>
      </c>
      <c r="C28" s="28"/>
      <c r="D28" s="28"/>
      <c r="E28" s="28"/>
      <c r="F28" s="29" t="s">
        <v>23</v>
      </c>
      <c r="G28" s="29"/>
    </row>
    <row r="29" spans="2:7" x14ac:dyDescent="0.35">
      <c r="B29" s="28" t="s">
        <v>24</v>
      </c>
      <c r="C29" s="28"/>
      <c r="D29" s="28"/>
      <c r="E29" s="28"/>
      <c r="F29" s="29" t="s">
        <v>25</v>
      </c>
      <c r="G29" s="29"/>
    </row>
    <row r="30" spans="2:7" x14ac:dyDescent="0.35">
      <c r="B30" s="28" t="s">
        <v>26</v>
      </c>
      <c r="C30" s="28"/>
      <c r="D30" s="28"/>
      <c r="E30" s="28"/>
      <c r="F30" s="29" t="s">
        <v>27</v>
      </c>
      <c r="G30" s="29"/>
    </row>
    <row r="32" spans="2:7" ht="19.5" customHeight="1" x14ac:dyDescent="0.35">
      <c r="B32" s="26" t="s">
        <v>28</v>
      </c>
      <c r="C32" s="26"/>
      <c r="D32" s="26"/>
      <c r="E32" s="26"/>
      <c r="F32" s="26"/>
      <c r="G32" s="26"/>
    </row>
    <row r="33" spans="2:7" x14ac:dyDescent="0.35">
      <c r="B33" s="24">
        <v>1</v>
      </c>
      <c r="C33" s="25" t="s">
        <v>29</v>
      </c>
      <c r="D33" s="25"/>
      <c r="E33" s="25"/>
      <c r="F33" s="25"/>
      <c r="G33" s="25"/>
    </row>
    <row r="34" spans="2:7" x14ac:dyDescent="0.35">
      <c r="B34" s="24">
        <v>3</v>
      </c>
      <c r="C34" s="25" t="s">
        <v>30</v>
      </c>
      <c r="D34" s="25"/>
      <c r="E34" s="25"/>
      <c r="F34" s="25"/>
      <c r="G34" s="25"/>
    </row>
    <row r="35" spans="2:7" x14ac:dyDescent="0.35">
      <c r="B35" s="24">
        <v>5</v>
      </c>
      <c r="C35" s="25" t="s">
        <v>31</v>
      </c>
      <c r="D35" s="25"/>
      <c r="E35" s="25"/>
      <c r="F35" s="25"/>
      <c r="G35" s="25"/>
    </row>
    <row r="37" spans="2:7" ht="19.5" customHeight="1" x14ac:dyDescent="0.35">
      <c r="B37" s="26" t="s">
        <v>32</v>
      </c>
      <c r="C37" s="26"/>
      <c r="D37" s="26"/>
      <c r="E37" s="26"/>
      <c r="F37" s="26"/>
      <c r="G37" s="26"/>
    </row>
    <row r="38" spans="2:7" x14ac:dyDescent="0.35">
      <c r="B38" s="24">
        <v>1</v>
      </c>
      <c r="C38" s="25" t="s">
        <v>33</v>
      </c>
      <c r="D38" s="25"/>
      <c r="E38" s="25"/>
      <c r="F38" s="25"/>
      <c r="G38" s="25"/>
    </row>
    <row r="39" spans="2:7" x14ac:dyDescent="0.35">
      <c r="B39" s="24">
        <v>2</v>
      </c>
      <c r="C39" s="25" t="s">
        <v>34</v>
      </c>
      <c r="D39" s="25"/>
      <c r="E39" s="25"/>
      <c r="F39" s="25"/>
      <c r="G39" s="25"/>
    </row>
    <row r="40" spans="2:7" x14ac:dyDescent="0.35">
      <c r="B40" s="24">
        <v>3</v>
      </c>
      <c r="C40" s="25" t="s">
        <v>35</v>
      </c>
      <c r="D40" s="25"/>
      <c r="E40" s="25"/>
      <c r="F40" s="25"/>
      <c r="G40" s="25"/>
    </row>
    <row r="41" spans="2:7" x14ac:dyDescent="0.35">
      <c r="B41" s="24">
        <v>4</v>
      </c>
      <c r="C41" s="25" t="s">
        <v>36</v>
      </c>
      <c r="D41" s="25"/>
      <c r="E41" s="25"/>
      <c r="F41" s="25"/>
      <c r="G41" s="25"/>
    </row>
    <row r="42" spans="2:7" x14ac:dyDescent="0.35">
      <c r="B42" s="24">
        <v>5</v>
      </c>
      <c r="C42" s="25" t="s">
        <v>37</v>
      </c>
      <c r="D42" s="25"/>
      <c r="E42" s="25"/>
      <c r="F42" s="25"/>
      <c r="G42" s="25"/>
    </row>
    <row r="44" spans="2:7" ht="19.5" customHeight="1" x14ac:dyDescent="0.35">
      <c r="B44" s="26" t="s">
        <v>38</v>
      </c>
      <c r="C44" s="26"/>
      <c r="D44" s="26"/>
      <c r="E44" s="26"/>
      <c r="F44" s="26"/>
      <c r="G44" s="26"/>
    </row>
    <row r="45" spans="2:7" x14ac:dyDescent="0.35">
      <c r="B45" s="24">
        <v>1</v>
      </c>
      <c r="C45" s="25" t="s">
        <v>39</v>
      </c>
      <c r="D45" s="25"/>
      <c r="E45" s="25"/>
      <c r="F45" s="25"/>
      <c r="G45" s="25"/>
    </row>
    <row r="46" spans="2:7" x14ac:dyDescent="0.35">
      <c r="B46" s="24">
        <v>2</v>
      </c>
      <c r="C46" s="25" t="s">
        <v>40</v>
      </c>
      <c r="D46" s="25"/>
      <c r="E46" s="25"/>
      <c r="F46" s="25"/>
      <c r="G46" s="25"/>
    </row>
    <row r="47" spans="2:7" x14ac:dyDescent="0.35">
      <c r="B47" s="24">
        <v>3</v>
      </c>
      <c r="C47" s="25" t="s">
        <v>41</v>
      </c>
      <c r="D47" s="25"/>
      <c r="E47" s="25"/>
      <c r="F47" s="25"/>
      <c r="G47" s="25"/>
    </row>
    <row r="48" spans="2:7" x14ac:dyDescent="0.35">
      <c r="B48" s="24">
        <v>4</v>
      </c>
      <c r="C48" s="25" t="s">
        <v>42</v>
      </c>
      <c r="D48" s="25"/>
      <c r="E48" s="25"/>
      <c r="F48" s="25"/>
      <c r="G48" s="25"/>
    </row>
    <row r="49" spans="2:7" x14ac:dyDescent="0.35">
      <c r="B49" s="24">
        <v>5</v>
      </c>
      <c r="C49" s="25" t="s">
        <v>43</v>
      </c>
      <c r="D49" s="25"/>
      <c r="E49" s="25"/>
      <c r="F49" s="25"/>
      <c r="G49" s="25"/>
    </row>
    <row r="51" spans="2:7" ht="25.5" customHeight="1" x14ac:dyDescent="0.35">
      <c r="B51" s="20" t="s">
        <v>44</v>
      </c>
      <c r="C51" s="20"/>
      <c r="D51" s="20"/>
      <c r="E51" s="20"/>
      <c r="F51" s="20"/>
      <c r="G51" s="20"/>
    </row>
    <row r="52" spans="2:7" ht="19.5" customHeight="1" x14ac:dyDescent="0.35">
      <c r="B52" s="26" t="s">
        <v>45</v>
      </c>
      <c r="C52" s="26"/>
      <c r="D52" s="26"/>
      <c r="E52" s="26"/>
      <c r="F52" s="26"/>
      <c r="G52" s="26"/>
    </row>
    <row r="53" spans="2:7" ht="19.5" customHeight="1" x14ac:dyDescent="0.35">
      <c r="B53" s="21" t="s">
        <v>46</v>
      </c>
      <c r="C53" s="21"/>
      <c r="D53" s="21"/>
      <c r="E53" s="21"/>
      <c r="F53" s="21"/>
      <c r="G53" s="21"/>
    </row>
    <row r="55" spans="2:7" ht="25.5" customHeight="1" x14ac:dyDescent="0.35">
      <c r="B55" s="20" t="s">
        <v>47</v>
      </c>
      <c r="C55" s="20"/>
      <c r="D55" s="20"/>
      <c r="E55" s="20"/>
      <c r="F55" s="20"/>
      <c r="G55" s="20"/>
    </row>
    <row r="56" spans="2:7" x14ac:dyDescent="0.35">
      <c r="B56" s="30" t="s">
        <v>48</v>
      </c>
      <c r="C56" s="30"/>
      <c r="D56" s="30"/>
      <c r="E56" s="25" t="s">
        <v>49</v>
      </c>
      <c r="F56" s="25"/>
      <c r="G56" s="25"/>
    </row>
    <row r="57" spans="2:7" x14ac:dyDescent="0.35">
      <c r="B57" s="31" t="s">
        <v>50</v>
      </c>
      <c r="C57" s="31"/>
      <c r="D57" s="31"/>
      <c r="E57" s="25" t="s">
        <v>51</v>
      </c>
      <c r="F57" s="25"/>
      <c r="G57" s="25"/>
    </row>
    <row r="58" spans="2:7" x14ac:dyDescent="0.35">
      <c r="B58" s="32" t="s">
        <v>52</v>
      </c>
      <c r="C58" s="32"/>
      <c r="D58" s="32"/>
      <c r="E58" s="25" t="s">
        <v>53</v>
      </c>
      <c r="F58" s="25"/>
      <c r="G58" s="25"/>
    </row>
    <row r="59" spans="2:7" x14ac:dyDescent="0.35">
      <c r="B59" s="33" t="s">
        <v>54</v>
      </c>
      <c r="C59" s="33"/>
      <c r="D59" s="33"/>
      <c r="E59" s="25" t="s">
        <v>55</v>
      </c>
      <c r="F59" s="25"/>
      <c r="G59" s="25"/>
    </row>
    <row r="62" spans="2:7" ht="25.5" customHeight="1" x14ac:dyDescent="0.35">
      <c r="B62" s="20" t="s">
        <v>56</v>
      </c>
      <c r="C62" s="20"/>
      <c r="D62" s="20"/>
      <c r="E62" s="20"/>
      <c r="F62" s="20"/>
      <c r="G62" s="20"/>
    </row>
    <row r="63" spans="2:7" ht="19.5" customHeight="1" x14ac:dyDescent="0.35">
      <c r="B63" s="21" t="s">
        <v>57</v>
      </c>
      <c r="C63" s="21"/>
      <c r="D63" s="21"/>
      <c r="E63" s="21"/>
      <c r="F63" s="21"/>
      <c r="G63" s="21"/>
    </row>
    <row r="64" spans="2:7" ht="19.5" customHeight="1" x14ac:dyDescent="0.35">
      <c r="B64" s="27" t="s">
        <v>58</v>
      </c>
      <c r="C64" s="27"/>
      <c r="D64" s="27"/>
      <c r="E64" s="27"/>
      <c r="F64" s="27"/>
      <c r="G64" s="27"/>
    </row>
    <row r="65" spans="2:7" ht="19.5" customHeight="1" x14ac:dyDescent="0.35">
      <c r="B65" s="27" t="s">
        <v>59</v>
      </c>
      <c r="C65" s="27"/>
      <c r="D65" s="27"/>
      <c r="E65" s="27"/>
      <c r="F65" s="27"/>
      <c r="G65" s="27"/>
    </row>
    <row r="66" spans="2:7" ht="19.5" customHeight="1" x14ac:dyDescent="0.35">
      <c r="B66" s="27" t="s">
        <v>60</v>
      </c>
      <c r="C66" s="27"/>
      <c r="D66" s="27"/>
      <c r="E66" s="27"/>
      <c r="F66" s="27"/>
      <c r="G66" s="27"/>
    </row>
    <row r="67" spans="2:7" ht="19.5" customHeight="1" x14ac:dyDescent="0.35">
      <c r="B67" s="27" t="s">
        <v>61</v>
      </c>
      <c r="C67" s="27"/>
      <c r="D67" s="27"/>
      <c r="E67" s="27"/>
      <c r="F67" s="27"/>
      <c r="G67" s="27"/>
    </row>
    <row r="69" spans="2:7" ht="25.5" customHeight="1" x14ac:dyDescent="0.35">
      <c r="B69" s="20" t="s">
        <v>62</v>
      </c>
      <c r="C69" s="20"/>
      <c r="D69" s="20"/>
      <c r="E69" s="20"/>
      <c r="F69" s="20"/>
      <c r="G69" s="20"/>
    </row>
    <row r="70" spans="2:7" ht="19.5" customHeight="1" x14ac:dyDescent="0.35">
      <c r="B70" s="21" t="s">
        <v>130</v>
      </c>
      <c r="C70" s="21"/>
      <c r="D70" s="21"/>
      <c r="E70" s="21"/>
      <c r="F70" s="21"/>
      <c r="G70" s="21"/>
    </row>
    <row r="71" spans="2:7" ht="19.5" customHeight="1" x14ac:dyDescent="0.35">
      <c r="B71" s="21" t="s">
        <v>63</v>
      </c>
      <c r="C71" s="21"/>
      <c r="D71" s="21"/>
      <c r="E71" s="21"/>
      <c r="F71" s="21"/>
      <c r="G71" s="21"/>
    </row>
    <row r="72" spans="2:7" ht="19.5" customHeight="1" x14ac:dyDescent="0.35">
      <c r="B72" s="21" t="s">
        <v>64</v>
      </c>
      <c r="C72" s="21"/>
      <c r="D72" s="21"/>
      <c r="E72" s="21"/>
      <c r="F72" s="21"/>
      <c r="G72" s="21"/>
    </row>
    <row r="73" spans="2:7" ht="19.5" customHeight="1" x14ac:dyDescent="0.35">
      <c r="B73" s="21" t="s">
        <v>65</v>
      </c>
      <c r="C73" s="21"/>
      <c r="D73" s="21"/>
      <c r="E73" s="21"/>
      <c r="F73" s="21"/>
      <c r="G73" s="21"/>
    </row>
    <row r="74" spans="2:7" ht="19.5" customHeight="1" x14ac:dyDescent="0.35">
      <c r="B74" s="21" t="s">
        <v>66</v>
      </c>
      <c r="C74" s="21"/>
      <c r="D74" s="21"/>
      <c r="E74" s="21"/>
      <c r="F74" s="21"/>
      <c r="G74" s="21"/>
    </row>
    <row r="75" spans="2:7" ht="19.5" customHeight="1" x14ac:dyDescent="0.35">
      <c r="B75" s="21" t="s">
        <v>67</v>
      </c>
      <c r="C75" s="21"/>
      <c r="D75" s="21"/>
      <c r="E75" s="21"/>
      <c r="F75" s="21"/>
      <c r="G75" s="21"/>
    </row>
    <row r="76" spans="2:7" ht="19.5" customHeight="1" x14ac:dyDescent="0.35">
      <c r="B76" s="21"/>
      <c r="C76" s="21"/>
      <c r="D76" s="21"/>
      <c r="E76" s="21"/>
      <c r="F76" s="21"/>
      <c r="G76" s="21"/>
    </row>
  </sheetData>
  <mergeCells count="71"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16:G16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28:E28"/>
    <mergeCell ref="F28:G28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C40:G40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55:G5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65:G65"/>
    <mergeCell ref="B66:G66"/>
    <mergeCell ref="B67:G67"/>
    <mergeCell ref="B74:G74"/>
    <mergeCell ref="B75:G75"/>
    <mergeCell ref="B76:G76"/>
    <mergeCell ref="B69:G69"/>
    <mergeCell ref="B70:G70"/>
    <mergeCell ref="B71:G71"/>
    <mergeCell ref="B72:G72"/>
    <mergeCell ref="B73:G7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8"/>
  <sheetViews>
    <sheetView showGridLines="0" tabSelected="1"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7" sqref="E7"/>
    </sheetView>
  </sheetViews>
  <sheetFormatPr defaultColWidth="8.6328125" defaultRowHeight="14.5" x14ac:dyDescent="0.35"/>
  <cols>
    <col min="1" max="1" width="11" style="17" customWidth="1"/>
    <col min="2" max="2" width="22" style="17" customWidth="1"/>
    <col min="3" max="3" width="38" style="17" customWidth="1"/>
    <col min="4" max="4" width="16" style="17" customWidth="1"/>
    <col min="5" max="5" width="13" style="17" customWidth="1"/>
    <col min="6" max="6" width="8" style="17" customWidth="1"/>
    <col min="7" max="7" width="10" style="17" customWidth="1"/>
    <col min="8" max="8" width="14" style="17" customWidth="1"/>
    <col min="9" max="9" width="13" style="17" customWidth="1"/>
    <col min="10" max="10" width="18" style="17" customWidth="1"/>
    <col min="11" max="11" width="16" style="17" customWidth="1"/>
    <col min="12" max="12" width="18" style="17" customWidth="1"/>
    <col min="13" max="13" width="22" style="17" customWidth="1"/>
    <col min="14" max="14" width="20" style="17" customWidth="1"/>
    <col min="15" max="15" width="18" style="17" customWidth="1"/>
    <col min="16" max="16" width="26" style="17" customWidth="1"/>
    <col min="17" max="17" width="24" style="17" customWidth="1"/>
    <col min="18" max="18" width="8.6328125" style="7"/>
    <col min="19" max="19" width="8.6328125" style="4"/>
    <col min="20" max="16384" width="8.6328125" style="7"/>
  </cols>
  <sheetData>
    <row r="1" spans="1:19" ht="31.5" customHeight="1" x14ac:dyDescent="0.35">
      <c r="A1" s="6" t="s">
        <v>68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S1" s="1"/>
    </row>
    <row r="2" spans="1:19" s="34" customFormat="1" ht="33.75" customHeight="1" x14ac:dyDescent="0.35">
      <c r="A2" s="5" t="s">
        <v>69</v>
      </c>
      <c r="B2" s="5" t="s">
        <v>70</v>
      </c>
      <c r="C2" s="5" t="s">
        <v>71</v>
      </c>
      <c r="D2" s="5" t="s">
        <v>72</v>
      </c>
      <c r="E2" s="5" t="s">
        <v>73</v>
      </c>
      <c r="F2" s="5" t="s">
        <v>74</v>
      </c>
      <c r="G2" s="5" t="s">
        <v>75</v>
      </c>
      <c r="H2" s="5" t="s">
        <v>76</v>
      </c>
      <c r="I2" s="5" t="s">
        <v>77</v>
      </c>
      <c r="J2" s="5" t="s">
        <v>78</v>
      </c>
      <c r="K2" s="5" t="s">
        <v>79</v>
      </c>
      <c r="L2" s="5" t="s">
        <v>80</v>
      </c>
      <c r="M2" s="5" t="s">
        <v>81</v>
      </c>
      <c r="N2" s="5" t="s">
        <v>82</v>
      </c>
      <c r="O2" s="5" t="s">
        <v>83</v>
      </c>
      <c r="P2" s="5" t="s">
        <v>84</v>
      </c>
      <c r="Q2" s="5" t="s">
        <v>85</v>
      </c>
      <c r="S2" s="5" t="s">
        <v>183</v>
      </c>
    </row>
    <row r="3" spans="1:19" ht="21.75" customHeight="1" x14ac:dyDescent="0.35">
      <c r="A3" s="2">
        <v>168028</v>
      </c>
      <c r="B3" s="8" t="s">
        <v>95</v>
      </c>
      <c r="C3" s="8" t="s">
        <v>96</v>
      </c>
      <c r="D3" s="8" t="s">
        <v>131</v>
      </c>
      <c r="E3" s="9">
        <v>31046</v>
      </c>
      <c r="F3" s="10">
        <f ca="1">DATEDIF(E3,TODAY(),"Y")</f>
        <v>41</v>
      </c>
      <c r="G3" s="10">
        <f t="shared" ref="G3:G48" ca="1" si="0">IF(F3="","",IF(F3&lt;50,1,IF(F3&lt;55,2,IF(F3&lt;58,3,IF(F3&lt;60,4,5)))))</f>
        <v>1</v>
      </c>
      <c r="H3" s="11"/>
      <c r="I3" s="11"/>
      <c r="J3" s="11"/>
      <c r="K3" s="11"/>
      <c r="L3" s="12" t="str">
        <f t="shared" ref="L3:L48" ca="1" si="1">IF(OR(I3="",J3="",K3="",G3=""),"",ROUND(G3*0.2+I3*0.3+J3*0.3+K3*0.2,2))</f>
        <v/>
      </c>
      <c r="M3" s="12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/>
      </c>
      <c r="N3" s="8"/>
      <c r="O3" s="8"/>
      <c r="P3" s="8"/>
      <c r="Q3" s="8"/>
      <c r="S3" s="2" t="s">
        <v>185</v>
      </c>
    </row>
    <row r="4" spans="1:19" ht="21.75" customHeight="1" x14ac:dyDescent="0.35">
      <c r="A4" s="3">
        <v>150026</v>
      </c>
      <c r="B4" s="13" t="s">
        <v>97</v>
      </c>
      <c r="C4" s="13" t="s">
        <v>98</v>
      </c>
      <c r="D4" s="13" t="s">
        <v>132</v>
      </c>
      <c r="E4" s="14">
        <v>29304</v>
      </c>
      <c r="F4" s="15">
        <f t="shared" ref="F4:F48" ca="1" si="3">DATEDIF(E4,TODAY(),"Y")</f>
        <v>46</v>
      </c>
      <c r="G4" s="15">
        <f t="shared" ca="1" si="0"/>
        <v>1</v>
      </c>
      <c r="H4" s="11"/>
      <c r="I4" s="11"/>
      <c r="J4" s="11"/>
      <c r="K4" s="11"/>
      <c r="L4" s="16" t="str">
        <f t="shared" ca="1" si="1"/>
        <v/>
      </c>
      <c r="M4" s="16" t="str">
        <f t="shared" ca="1" si="2"/>
        <v/>
      </c>
      <c r="N4" s="13"/>
      <c r="O4" s="13"/>
      <c r="P4" s="13"/>
      <c r="Q4" s="13"/>
      <c r="S4" s="3" t="s">
        <v>185</v>
      </c>
    </row>
    <row r="5" spans="1:19" ht="21.75" customHeight="1" x14ac:dyDescent="0.35">
      <c r="A5" s="2">
        <v>147022</v>
      </c>
      <c r="B5" s="8" t="s">
        <v>99</v>
      </c>
      <c r="C5" s="8" t="s">
        <v>100</v>
      </c>
      <c r="D5" s="8" t="s">
        <v>131</v>
      </c>
      <c r="E5" s="9">
        <v>29168</v>
      </c>
      <c r="F5" s="10">
        <f t="shared" ca="1" si="3"/>
        <v>46</v>
      </c>
      <c r="G5" s="10">
        <f t="shared" ca="1" si="0"/>
        <v>1</v>
      </c>
      <c r="H5" s="11"/>
      <c r="I5" s="11"/>
      <c r="J5" s="11"/>
      <c r="K5" s="11"/>
      <c r="L5" s="12" t="str">
        <f t="shared" ca="1" si="1"/>
        <v/>
      </c>
      <c r="M5" s="12" t="str">
        <f t="shared" ca="1" si="2"/>
        <v/>
      </c>
      <c r="N5" s="8"/>
      <c r="O5" s="8"/>
      <c r="P5" s="8"/>
      <c r="Q5" s="8"/>
      <c r="S5" s="2" t="s">
        <v>185</v>
      </c>
    </row>
    <row r="6" spans="1:19" ht="21.75" customHeight="1" x14ac:dyDescent="0.35">
      <c r="A6" s="3">
        <v>136049</v>
      </c>
      <c r="B6" s="13" t="s">
        <v>101</v>
      </c>
      <c r="C6" s="13" t="s">
        <v>102</v>
      </c>
      <c r="D6" s="13" t="s">
        <v>132</v>
      </c>
      <c r="E6" s="14">
        <v>25766</v>
      </c>
      <c r="F6" s="15">
        <f t="shared" ca="1" si="3"/>
        <v>55</v>
      </c>
      <c r="G6" s="15">
        <f t="shared" ca="1" si="0"/>
        <v>3</v>
      </c>
      <c r="H6" s="11"/>
      <c r="I6" s="11"/>
      <c r="J6" s="11"/>
      <c r="K6" s="11"/>
      <c r="L6" s="16" t="str">
        <f t="shared" ca="1" si="1"/>
        <v/>
      </c>
      <c r="M6" s="16" t="str">
        <f t="shared" ca="1" si="2"/>
        <v/>
      </c>
      <c r="N6" s="13"/>
      <c r="O6" s="13"/>
      <c r="P6" s="13"/>
      <c r="Q6" s="13"/>
      <c r="S6" s="3" t="s">
        <v>185</v>
      </c>
    </row>
    <row r="7" spans="1:19" ht="21.75" customHeight="1" x14ac:dyDescent="0.35">
      <c r="A7" s="2">
        <v>161027</v>
      </c>
      <c r="B7" s="8" t="s">
        <v>103</v>
      </c>
      <c r="C7" s="8" t="s">
        <v>104</v>
      </c>
      <c r="D7" s="8" t="s">
        <v>131</v>
      </c>
      <c r="E7" s="9">
        <v>31632</v>
      </c>
      <c r="F7" s="10">
        <f t="shared" ca="1" si="3"/>
        <v>39</v>
      </c>
      <c r="G7" s="10">
        <f t="shared" ca="1" si="0"/>
        <v>1</v>
      </c>
      <c r="H7" s="11"/>
      <c r="I7" s="11"/>
      <c r="J7" s="11"/>
      <c r="K7" s="11"/>
      <c r="L7" s="12" t="str">
        <f t="shared" ca="1" si="1"/>
        <v/>
      </c>
      <c r="M7" s="12" t="str">
        <f t="shared" ca="1" si="2"/>
        <v/>
      </c>
      <c r="N7" s="8"/>
      <c r="O7" s="8"/>
      <c r="P7" s="8"/>
      <c r="Q7" s="8"/>
      <c r="S7" s="2" t="s">
        <v>185</v>
      </c>
    </row>
    <row r="8" spans="1:19" ht="21.75" customHeight="1" x14ac:dyDescent="0.35">
      <c r="A8" s="2">
        <v>656001</v>
      </c>
      <c r="B8" s="8" t="s">
        <v>124</v>
      </c>
      <c r="C8" s="8" t="s">
        <v>125</v>
      </c>
      <c r="D8" s="8" t="s">
        <v>132</v>
      </c>
      <c r="E8" s="9">
        <v>25400</v>
      </c>
      <c r="F8" s="10">
        <f t="shared" ca="1" si="3"/>
        <v>56</v>
      </c>
      <c r="G8" s="10">
        <f t="shared" ca="1" si="0"/>
        <v>3</v>
      </c>
      <c r="H8" s="11"/>
      <c r="I8" s="11"/>
      <c r="J8" s="11"/>
      <c r="K8" s="11"/>
      <c r="L8" s="12" t="str">
        <f t="shared" ca="1" si="1"/>
        <v/>
      </c>
      <c r="M8" s="12" t="str">
        <f t="shared" ca="1" si="2"/>
        <v/>
      </c>
      <c r="N8" s="8"/>
      <c r="O8" s="8"/>
      <c r="P8" s="8"/>
      <c r="Q8" s="8"/>
      <c r="S8" s="2" t="s">
        <v>185</v>
      </c>
    </row>
    <row r="9" spans="1:19" ht="21.75" customHeight="1" x14ac:dyDescent="0.35">
      <c r="A9" s="3">
        <v>656008</v>
      </c>
      <c r="B9" s="13" t="s">
        <v>126</v>
      </c>
      <c r="C9" s="13" t="s">
        <v>127</v>
      </c>
      <c r="D9" s="13" t="s">
        <v>131</v>
      </c>
      <c r="E9" s="14">
        <v>34150</v>
      </c>
      <c r="F9" s="15">
        <f t="shared" ca="1" si="3"/>
        <v>33</v>
      </c>
      <c r="G9" s="15">
        <f t="shared" ca="1" si="0"/>
        <v>1</v>
      </c>
      <c r="H9" s="11"/>
      <c r="I9" s="11"/>
      <c r="J9" s="11"/>
      <c r="K9" s="11"/>
      <c r="L9" s="16" t="str">
        <f t="shared" ca="1" si="1"/>
        <v/>
      </c>
      <c r="M9" s="16" t="str">
        <f t="shared" ca="1" si="2"/>
        <v/>
      </c>
      <c r="N9" s="13"/>
      <c r="O9" s="13"/>
      <c r="P9" s="13"/>
      <c r="Q9" s="13"/>
      <c r="S9" s="3" t="s">
        <v>185</v>
      </c>
    </row>
    <row r="10" spans="1:19" ht="21.75" customHeight="1" x14ac:dyDescent="0.35">
      <c r="A10" s="2">
        <v>168017</v>
      </c>
      <c r="B10" s="8" t="s">
        <v>133</v>
      </c>
      <c r="C10" s="8" t="s">
        <v>134</v>
      </c>
      <c r="D10" s="8" t="s">
        <v>88</v>
      </c>
      <c r="E10" s="9">
        <v>31953</v>
      </c>
      <c r="F10" s="10">
        <f t="shared" ca="1" si="3"/>
        <v>39</v>
      </c>
      <c r="G10" s="10">
        <f t="shared" ca="1" si="0"/>
        <v>1</v>
      </c>
      <c r="H10" s="11"/>
      <c r="I10" s="11"/>
      <c r="J10" s="11"/>
      <c r="K10" s="11"/>
      <c r="L10" s="12" t="str">
        <f t="shared" ca="1" si="1"/>
        <v/>
      </c>
      <c r="M10" s="12" t="str">
        <f t="shared" ca="1" si="2"/>
        <v/>
      </c>
      <c r="N10" s="8"/>
      <c r="O10" s="8"/>
      <c r="P10" s="8"/>
      <c r="Q10" s="8"/>
      <c r="S10" s="2" t="s">
        <v>188</v>
      </c>
    </row>
    <row r="11" spans="1:19" ht="21.75" customHeight="1" x14ac:dyDescent="0.35">
      <c r="A11" s="3">
        <v>266049</v>
      </c>
      <c r="B11" s="13" t="s">
        <v>135</v>
      </c>
      <c r="C11" s="13" t="s">
        <v>136</v>
      </c>
      <c r="D11" s="13" t="s">
        <v>88</v>
      </c>
      <c r="E11" s="14">
        <v>28864</v>
      </c>
      <c r="F11" s="15">
        <f t="shared" ca="1" si="3"/>
        <v>47</v>
      </c>
      <c r="G11" s="15">
        <f t="shared" ca="1" si="0"/>
        <v>1</v>
      </c>
      <c r="H11" s="11"/>
      <c r="I11" s="11"/>
      <c r="J11" s="11"/>
      <c r="K11" s="11"/>
      <c r="L11" s="16" t="str">
        <f t="shared" ca="1" si="1"/>
        <v/>
      </c>
      <c r="M11" s="16" t="str">
        <f t="shared" ca="1" si="2"/>
        <v/>
      </c>
      <c r="N11" s="13"/>
      <c r="O11" s="13"/>
      <c r="P11" s="13"/>
      <c r="Q11" s="13"/>
      <c r="S11" s="3" t="s">
        <v>188</v>
      </c>
    </row>
    <row r="12" spans="1:19" ht="21.75" customHeight="1" x14ac:dyDescent="0.35">
      <c r="A12" s="2">
        <v>166027</v>
      </c>
      <c r="B12" s="8" t="s">
        <v>137</v>
      </c>
      <c r="C12" s="8" t="s">
        <v>138</v>
      </c>
      <c r="D12" s="8" t="s">
        <v>88</v>
      </c>
      <c r="E12" s="9">
        <v>29165</v>
      </c>
      <c r="F12" s="10">
        <f t="shared" ca="1" si="3"/>
        <v>46</v>
      </c>
      <c r="G12" s="10">
        <f t="shared" ca="1" si="0"/>
        <v>1</v>
      </c>
      <c r="H12" s="11"/>
      <c r="I12" s="11"/>
      <c r="J12" s="11"/>
      <c r="K12" s="11"/>
      <c r="L12" s="12" t="str">
        <f t="shared" ca="1" si="1"/>
        <v/>
      </c>
      <c r="M12" s="12" t="str">
        <f t="shared" ca="1" si="2"/>
        <v/>
      </c>
      <c r="N12" s="8"/>
      <c r="O12" s="8"/>
      <c r="P12" s="8"/>
      <c r="Q12" s="8"/>
      <c r="S12" s="2" t="s">
        <v>188</v>
      </c>
    </row>
    <row r="13" spans="1:19" ht="21.75" customHeight="1" x14ac:dyDescent="0.35">
      <c r="A13" s="3">
        <v>168018</v>
      </c>
      <c r="B13" s="13" t="s">
        <v>139</v>
      </c>
      <c r="C13" s="13" t="s">
        <v>140</v>
      </c>
      <c r="D13" s="13" t="s">
        <v>88</v>
      </c>
      <c r="E13" s="14">
        <v>33417</v>
      </c>
      <c r="F13" s="15">
        <f t="shared" ca="1" si="3"/>
        <v>35</v>
      </c>
      <c r="G13" s="15">
        <f t="shared" ca="1" si="0"/>
        <v>1</v>
      </c>
      <c r="H13" s="11"/>
      <c r="I13" s="11"/>
      <c r="J13" s="11"/>
      <c r="K13" s="11"/>
      <c r="L13" s="16" t="str">
        <f t="shared" ca="1" si="1"/>
        <v/>
      </c>
      <c r="M13" s="16" t="str">
        <f t="shared" ca="1" si="2"/>
        <v/>
      </c>
      <c r="N13" s="13"/>
      <c r="O13" s="13"/>
      <c r="P13" s="13"/>
      <c r="Q13" s="13"/>
      <c r="S13" s="3" t="s">
        <v>188</v>
      </c>
    </row>
    <row r="14" spans="1:19" ht="21.75" customHeight="1" x14ac:dyDescent="0.35">
      <c r="A14" s="3">
        <v>264090</v>
      </c>
      <c r="B14" s="13" t="s">
        <v>105</v>
      </c>
      <c r="C14" s="13" t="s">
        <v>106</v>
      </c>
      <c r="D14" s="13" t="s">
        <v>132</v>
      </c>
      <c r="E14" s="14">
        <v>31762</v>
      </c>
      <c r="F14" s="15">
        <f t="shared" ca="1" si="3"/>
        <v>39</v>
      </c>
      <c r="G14" s="15">
        <f t="shared" ca="1" si="0"/>
        <v>1</v>
      </c>
      <c r="H14" s="11"/>
      <c r="I14" s="11"/>
      <c r="J14" s="11"/>
      <c r="K14" s="11"/>
      <c r="L14" s="16" t="str">
        <f t="shared" ca="1" si="1"/>
        <v/>
      </c>
      <c r="M14" s="16" t="str">
        <f t="shared" ca="1" si="2"/>
        <v/>
      </c>
      <c r="N14" s="13"/>
      <c r="O14" s="13"/>
      <c r="P14" s="13"/>
      <c r="Q14" s="13"/>
      <c r="S14" s="3" t="s">
        <v>186</v>
      </c>
    </row>
    <row r="15" spans="1:19" ht="21.75" customHeight="1" x14ac:dyDescent="0.35">
      <c r="A15" s="2">
        <v>239006</v>
      </c>
      <c r="B15" s="8" t="s">
        <v>107</v>
      </c>
      <c r="C15" s="8" t="s">
        <v>108</v>
      </c>
      <c r="D15" s="8" t="s">
        <v>132</v>
      </c>
      <c r="E15" s="9">
        <v>26179</v>
      </c>
      <c r="F15" s="10">
        <f t="shared" ca="1" si="3"/>
        <v>54</v>
      </c>
      <c r="G15" s="10">
        <f t="shared" ca="1" si="0"/>
        <v>2</v>
      </c>
      <c r="H15" s="11"/>
      <c r="I15" s="11"/>
      <c r="J15" s="11"/>
      <c r="K15" s="11"/>
      <c r="L15" s="12" t="str">
        <f t="shared" ca="1" si="1"/>
        <v/>
      </c>
      <c r="M15" s="12" t="str">
        <f t="shared" ca="1" si="2"/>
        <v/>
      </c>
      <c r="N15" s="8"/>
      <c r="O15" s="8"/>
      <c r="P15" s="8"/>
      <c r="Q15" s="8"/>
      <c r="S15" s="2" t="s">
        <v>186</v>
      </c>
    </row>
    <row r="16" spans="1:19" ht="21.75" customHeight="1" x14ac:dyDescent="0.35">
      <c r="A16" s="3">
        <v>246004</v>
      </c>
      <c r="B16" s="13" t="s">
        <v>109</v>
      </c>
      <c r="C16" s="13" t="s">
        <v>110</v>
      </c>
      <c r="D16" s="13" t="s">
        <v>132</v>
      </c>
      <c r="E16" s="14">
        <v>28270</v>
      </c>
      <c r="F16" s="15">
        <f t="shared" ca="1" si="3"/>
        <v>49</v>
      </c>
      <c r="G16" s="15">
        <f t="shared" ca="1" si="0"/>
        <v>1</v>
      </c>
      <c r="H16" s="11"/>
      <c r="I16" s="11"/>
      <c r="J16" s="11"/>
      <c r="K16" s="11"/>
      <c r="L16" s="16" t="str">
        <f t="shared" ca="1" si="1"/>
        <v/>
      </c>
      <c r="M16" s="16" t="str">
        <f t="shared" ca="1" si="2"/>
        <v/>
      </c>
      <c r="N16" s="13"/>
      <c r="O16" s="13"/>
      <c r="P16" s="13"/>
      <c r="Q16" s="13"/>
      <c r="S16" s="3" t="s">
        <v>186</v>
      </c>
    </row>
    <row r="17" spans="1:19" ht="21.75" customHeight="1" x14ac:dyDescent="0.35">
      <c r="A17" s="2">
        <v>242032</v>
      </c>
      <c r="B17" s="8" t="s">
        <v>111</v>
      </c>
      <c r="C17" s="8" t="s">
        <v>112</v>
      </c>
      <c r="D17" s="8" t="s">
        <v>132</v>
      </c>
      <c r="E17" s="9">
        <v>27745</v>
      </c>
      <c r="F17" s="10">
        <f t="shared" ca="1" si="3"/>
        <v>50</v>
      </c>
      <c r="G17" s="10">
        <f t="shared" ca="1" si="0"/>
        <v>2</v>
      </c>
      <c r="H17" s="11"/>
      <c r="I17" s="11"/>
      <c r="J17" s="11"/>
      <c r="K17" s="11"/>
      <c r="L17" s="12" t="str">
        <f t="shared" ca="1" si="1"/>
        <v/>
      </c>
      <c r="M17" s="12" t="str">
        <f t="shared" ca="1" si="2"/>
        <v/>
      </c>
      <c r="N17" s="8"/>
      <c r="O17" s="8"/>
      <c r="P17" s="8"/>
      <c r="Q17" s="8"/>
      <c r="S17" s="2" t="s">
        <v>186</v>
      </c>
    </row>
    <row r="18" spans="1:19" ht="21.75" customHeight="1" x14ac:dyDescent="0.35">
      <c r="A18" s="3">
        <v>149024</v>
      </c>
      <c r="B18" s="13" t="s">
        <v>113</v>
      </c>
      <c r="C18" s="13" t="s">
        <v>114</v>
      </c>
      <c r="D18" s="13" t="s">
        <v>131</v>
      </c>
      <c r="E18" s="14">
        <v>26070</v>
      </c>
      <c r="F18" s="15">
        <f t="shared" ca="1" si="3"/>
        <v>55</v>
      </c>
      <c r="G18" s="15">
        <f t="shared" ca="1" si="0"/>
        <v>3</v>
      </c>
      <c r="H18" s="11"/>
      <c r="I18" s="11"/>
      <c r="J18" s="11"/>
      <c r="K18" s="11"/>
      <c r="L18" s="16" t="str">
        <f t="shared" ca="1" si="1"/>
        <v/>
      </c>
      <c r="M18" s="16" t="str">
        <f t="shared" ca="1" si="2"/>
        <v/>
      </c>
      <c r="N18" s="13"/>
      <c r="O18" s="13"/>
      <c r="P18" s="13"/>
      <c r="Q18" s="13"/>
      <c r="S18" s="3" t="s">
        <v>186</v>
      </c>
    </row>
    <row r="19" spans="1:19" ht="21.75" customHeight="1" x14ac:dyDescent="0.35">
      <c r="A19" s="3" t="s">
        <v>121</v>
      </c>
      <c r="B19" s="13" t="s">
        <v>122</v>
      </c>
      <c r="C19" s="13" t="s">
        <v>123</v>
      </c>
      <c r="D19" s="13" t="s">
        <v>131</v>
      </c>
      <c r="E19" s="14">
        <v>27122</v>
      </c>
      <c r="F19" s="15">
        <f t="shared" ca="1" si="3"/>
        <v>52</v>
      </c>
      <c r="G19" s="15">
        <f t="shared" ca="1" si="0"/>
        <v>2</v>
      </c>
      <c r="H19" s="11"/>
      <c r="I19" s="11"/>
      <c r="J19" s="11"/>
      <c r="K19" s="11"/>
      <c r="L19" s="16" t="str">
        <f t="shared" ca="1" si="1"/>
        <v/>
      </c>
      <c r="M19" s="16" t="str">
        <f t="shared" ca="1" si="2"/>
        <v/>
      </c>
      <c r="N19" s="13"/>
      <c r="O19" s="13"/>
      <c r="P19" s="13"/>
      <c r="Q19" s="13"/>
      <c r="S19" s="3" t="s">
        <v>186</v>
      </c>
    </row>
    <row r="20" spans="1:19" ht="21.75" customHeight="1" x14ac:dyDescent="0.35">
      <c r="A20" s="2">
        <v>232027</v>
      </c>
      <c r="B20" s="8" t="s">
        <v>141</v>
      </c>
      <c r="C20" s="8" t="s">
        <v>142</v>
      </c>
      <c r="D20" s="8" t="s">
        <v>132</v>
      </c>
      <c r="E20" s="9">
        <v>24838</v>
      </c>
      <c r="F20" s="10">
        <f t="shared" ca="1" si="3"/>
        <v>58</v>
      </c>
      <c r="G20" s="10">
        <f t="shared" ca="1" si="0"/>
        <v>4</v>
      </c>
      <c r="H20" s="11"/>
      <c r="I20" s="11"/>
      <c r="J20" s="11"/>
      <c r="K20" s="11"/>
      <c r="L20" s="12" t="str">
        <f t="shared" ca="1" si="1"/>
        <v/>
      </c>
      <c r="M20" s="12" t="str">
        <f t="shared" ca="1" si="2"/>
        <v/>
      </c>
      <c r="N20" s="8"/>
      <c r="O20" s="8"/>
      <c r="P20" s="8"/>
      <c r="Q20" s="8"/>
      <c r="S20" s="2" t="s">
        <v>186</v>
      </c>
    </row>
    <row r="21" spans="1:19" ht="21.75" customHeight="1" x14ac:dyDescent="0.35">
      <c r="A21" s="3">
        <v>256029</v>
      </c>
      <c r="B21" s="13" t="s">
        <v>143</v>
      </c>
      <c r="C21" s="13" t="s">
        <v>144</v>
      </c>
      <c r="D21" s="13" t="s">
        <v>131</v>
      </c>
      <c r="E21" s="14">
        <v>31119</v>
      </c>
      <c r="F21" s="15">
        <f t="shared" ca="1" si="3"/>
        <v>41</v>
      </c>
      <c r="G21" s="15">
        <f t="shared" ca="1" si="0"/>
        <v>1</v>
      </c>
      <c r="H21" s="11"/>
      <c r="I21" s="11"/>
      <c r="J21" s="11"/>
      <c r="K21" s="11"/>
      <c r="L21" s="16" t="str">
        <f t="shared" ca="1" si="1"/>
        <v/>
      </c>
      <c r="M21" s="16" t="str">
        <f t="shared" ca="1" si="2"/>
        <v/>
      </c>
      <c r="N21" s="13"/>
      <c r="O21" s="13"/>
      <c r="P21" s="13"/>
      <c r="Q21" s="13"/>
      <c r="S21" s="3" t="s">
        <v>186</v>
      </c>
    </row>
    <row r="22" spans="1:19" ht="21.75" customHeight="1" x14ac:dyDescent="0.35">
      <c r="A22" s="2">
        <v>236012</v>
      </c>
      <c r="B22" s="8" t="s">
        <v>145</v>
      </c>
      <c r="C22" s="8" t="s">
        <v>146</v>
      </c>
      <c r="D22" s="8" t="s">
        <v>131</v>
      </c>
      <c r="E22" s="9">
        <v>26421</v>
      </c>
      <c r="F22" s="10">
        <f t="shared" ca="1" si="3"/>
        <v>54</v>
      </c>
      <c r="G22" s="10">
        <f t="shared" ca="1" si="0"/>
        <v>2</v>
      </c>
      <c r="H22" s="11"/>
      <c r="I22" s="11"/>
      <c r="J22" s="11"/>
      <c r="K22" s="11"/>
      <c r="L22" s="12" t="str">
        <f t="shared" ca="1" si="1"/>
        <v/>
      </c>
      <c r="M22" s="12" t="str">
        <f t="shared" ca="1" si="2"/>
        <v/>
      </c>
      <c r="N22" s="8"/>
      <c r="O22" s="8"/>
      <c r="P22" s="8"/>
      <c r="Q22" s="8"/>
      <c r="S22" s="2" t="s">
        <v>186</v>
      </c>
    </row>
    <row r="23" spans="1:19" ht="21.75" customHeight="1" x14ac:dyDescent="0.35">
      <c r="A23" s="3">
        <v>250042</v>
      </c>
      <c r="B23" s="13" t="s">
        <v>147</v>
      </c>
      <c r="C23" s="13" t="s">
        <v>148</v>
      </c>
      <c r="D23" s="13" t="s">
        <v>131</v>
      </c>
      <c r="E23" s="14">
        <v>26738</v>
      </c>
      <c r="F23" s="15">
        <f t="shared" ca="1" si="3"/>
        <v>53</v>
      </c>
      <c r="G23" s="15">
        <f t="shared" ca="1" si="0"/>
        <v>2</v>
      </c>
      <c r="H23" s="11"/>
      <c r="I23" s="11"/>
      <c r="J23" s="11"/>
      <c r="K23" s="11"/>
      <c r="L23" s="16" t="str">
        <f t="shared" ca="1" si="1"/>
        <v/>
      </c>
      <c r="M23" s="16" t="str">
        <f t="shared" ca="1" si="2"/>
        <v/>
      </c>
      <c r="N23" s="13"/>
      <c r="O23" s="13"/>
      <c r="P23" s="13"/>
      <c r="Q23" s="13"/>
      <c r="S23" s="3" t="s">
        <v>186</v>
      </c>
    </row>
    <row r="24" spans="1:19" ht="21.75" customHeight="1" x14ac:dyDescent="0.35">
      <c r="A24" s="2">
        <v>233034</v>
      </c>
      <c r="B24" s="8" t="s">
        <v>149</v>
      </c>
      <c r="C24" s="8" t="s">
        <v>150</v>
      </c>
      <c r="D24" s="8" t="s">
        <v>132</v>
      </c>
      <c r="E24" s="9">
        <v>25245</v>
      </c>
      <c r="F24" s="10">
        <f t="shared" ca="1" si="3"/>
        <v>57</v>
      </c>
      <c r="G24" s="10">
        <f t="shared" ca="1" si="0"/>
        <v>3</v>
      </c>
      <c r="H24" s="11"/>
      <c r="I24" s="11"/>
      <c r="J24" s="11"/>
      <c r="K24" s="11"/>
      <c r="L24" s="12" t="str">
        <f t="shared" ca="1" si="1"/>
        <v/>
      </c>
      <c r="M24" s="12" t="str">
        <f t="shared" ca="1" si="2"/>
        <v/>
      </c>
      <c r="N24" s="8"/>
      <c r="O24" s="8"/>
      <c r="P24" s="8"/>
      <c r="Q24" s="8"/>
      <c r="S24" s="2" t="s">
        <v>186</v>
      </c>
    </row>
    <row r="25" spans="1:19" ht="21.75" customHeight="1" x14ac:dyDescent="0.35">
      <c r="A25" s="3">
        <v>268013</v>
      </c>
      <c r="B25" s="13" t="s">
        <v>151</v>
      </c>
      <c r="C25" s="13" t="s">
        <v>152</v>
      </c>
      <c r="D25" s="13" t="s">
        <v>132</v>
      </c>
      <c r="E25" s="14">
        <v>29244</v>
      </c>
      <c r="F25" s="15">
        <f t="shared" ca="1" si="3"/>
        <v>46</v>
      </c>
      <c r="G25" s="15">
        <f t="shared" ca="1" si="0"/>
        <v>1</v>
      </c>
      <c r="H25" s="11"/>
      <c r="I25" s="11"/>
      <c r="J25" s="11"/>
      <c r="K25" s="11"/>
      <c r="L25" s="16" t="str">
        <f t="shared" ca="1" si="1"/>
        <v/>
      </c>
      <c r="M25" s="16" t="str">
        <f t="shared" ca="1" si="2"/>
        <v/>
      </c>
      <c r="N25" s="13"/>
      <c r="O25" s="13"/>
      <c r="P25" s="13"/>
      <c r="Q25" s="13"/>
      <c r="S25" s="3" t="s">
        <v>186</v>
      </c>
    </row>
    <row r="26" spans="1:19" ht="21.75" customHeight="1" x14ac:dyDescent="0.35">
      <c r="A26" s="2">
        <v>249010</v>
      </c>
      <c r="B26" s="8" t="s">
        <v>153</v>
      </c>
      <c r="C26" s="8" t="s">
        <v>154</v>
      </c>
      <c r="D26" s="8" t="s">
        <v>132</v>
      </c>
      <c r="E26" s="9">
        <v>27467</v>
      </c>
      <c r="F26" s="10">
        <f t="shared" ca="1" si="3"/>
        <v>51</v>
      </c>
      <c r="G26" s="10">
        <f t="shared" ca="1" si="0"/>
        <v>2</v>
      </c>
      <c r="H26" s="11"/>
      <c r="I26" s="11"/>
      <c r="J26" s="11"/>
      <c r="K26" s="11"/>
      <c r="L26" s="12" t="str">
        <f t="shared" ca="1" si="1"/>
        <v/>
      </c>
      <c r="M26" s="12" t="str">
        <f t="shared" ca="1" si="2"/>
        <v/>
      </c>
      <c r="N26" s="8"/>
      <c r="O26" s="8"/>
      <c r="P26" s="8"/>
      <c r="Q26" s="8"/>
      <c r="S26" s="2" t="s">
        <v>186</v>
      </c>
    </row>
    <row r="27" spans="1:19" ht="21.75" customHeight="1" x14ac:dyDescent="0.35">
      <c r="A27" s="3">
        <v>268012</v>
      </c>
      <c r="B27" s="13" t="s">
        <v>155</v>
      </c>
      <c r="C27" s="13" t="s">
        <v>156</v>
      </c>
      <c r="D27" s="13" t="s">
        <v>132</v>
      </c>
      <c r="E27" s="14">
        <v>31704</v>
      </c>
      <c r="F27" s="15">
        <f t="shared" ca="1" si="3"/>
        <v>39</v>
      </c>
      <c r="G27" s="15">
        <f t="shared" ca="1" si="0"/>
        <v>1</v>
      </c>
      <c r="H27" s="11"/>
      <c r="I27" s="11"/>
      <c r="J27" s="11"/>
      <c r="K27" s="11"/>
      <c r="L27" s="16" t="str">
        <f t="shared" ca="1" si="1"/>
        <v/>
      </c>
      <c r="M27" s="16" t="str">
        <f t="shared" ca="1" si="2"/>
        <v/>
      </c>
      <c r="N27" s="13"/>
      <c r="O27" s="13"/>
      <c r="P27" s="13"/>
      <c r="Q27" s="13"/>
      <c r="S27" s="3" t="s">
        <v>186</v>
      </c>
    </row>
    <row r="28" spans="1:19" ht="21.75" customHeight="1" x14ac:dyDescent="0.35">
      <c r="A28" s="2">
        <v>238030</v>
      </c>
      <c r="B28" s="8" t="s">
        <v>157</v>
      </c>
      <c r="C28" s="8" t="s">
        <v>158</v>
      </c>
      <c r="D28" s="8" t="s">
        <v>131</v>
      </c>
      <c r="E28" s="9">
        <v>27404</v>
      </c>
      <c r="F28" s="10">
        <f t="shared" ca="1" si="3"/>
        <v>51</v>
      </c>
      <c r="G28" s="10">
        <f t="shared" ca="1" si="0"/>
        <v>2</v>
      </c>
      <c r="H28" s="11"/>
      <c r="I28" s="11"/>
      <c r="J28" s="11"/>
      <c r="K28" s="11"/>
      <c r="L28" s="12" t="str">
        <f t="shared" ca="1" si="1"/>
        <v/>
      </c>
      <c r="M28" s="12" t="str">
        <f t="shared" ca="1" si="2"/>
        <v/>
      </c>
      <c r="N28" s="8"/>
      <c r="O28" s="8"/>
      <c r="P28" s="8"/>
      <c r="Q28" s="8"/>
      <c r="S28" s="2" t="s">
        <v>186</v>
      </c>
    </row>
    <row r="29" spans="1:19" ht="21.75" customHeight="1" x14ac:dyDescent="0.35">
      <c r="A29" s="3">
        <v>256014</v>
      </c>
      <c r="B29" s="13" t="s">
        <v>159</v>
      </c>
      <c r="C29" s="13" t="s">
        <v>160</v>
      </c>
      <c r="D29" s="13" t="s">
        <v>132</v>
      </c>
      <c r="E29" s="14">
        <v>32349</v>
      </c>
      <c r="F29" s="15">
        <f t="shared" ca="1" si="3"/>
        <v>37</v>
      </c>
      <c r="G29" s="15">
        <f t="shared" ca="1" si="0"/>
        <v>1</v>
      </c>
      <c r="H29" s="11"/>
      <c r="I29" s="11"/>
      <c r="J29" s="11"/>
      <c r="K29" s="11"/>
      <c r="L29" s="16" t="str">
        <f t="shared" ca="1" si="1"/>
        <v/>
      </c>
      <c r="M29" s="16" t="str">
        <f t="shared" ca="1" si="2"/>
        <v/>
      </c>
      <c r="N29" s="13"/>
      <c r="O29" s="13"/>
      <c r="P29" s="13"/>
      <c r="Q29" s="13"/>
      <c r="S29" s="3" t="s">
        <v>186</v>
      </c>
    </row>
    <row r="30" spans="1:19" ht="21.75" customHeight="1" x14ac:dyDescent="0.35">
      <c r="A30" s="2">
        <v>443003</v>
      </c>
      <c r="B30" s="8" t="s">
        <v>161</v>
      </c>
      <c r="C30" s="8" t="s">
        <v>162</v>
      </c>
      <c r="D30" s="8" t="s">
        <v>132</v>
      </c>
      <c r="E30" s="9">
        <v>28572</v>
      </c>
      <c r="F30" s="10">
        <f t="shared" ca="1" si="3"/>
        <v>48</v>
      </c>
      <c r="G30" s="10">
        <f t="shared" ca="1" si="0"/>
        <v>1</v>
      </c>
      <c r="H30" s="11"/>
      <c r="I30" s="11"/>
      <c r="J30" s="11"/>
      <c r="K30" s="11"/>
      <c r="L30" s="12" t="str">
        <f t="shared" ca="1" si="1"/>
        <v/>
      </c>
      <c r="M30" s="12" t="str">
        <f t="shared" ca="1" si="2"/>
        <v/>
      </c>
      <c r="N30" s="8"/>
      <c r="O30" s="8"/>
      <c r="P30" s="8"/>
      <c r="Q30" s="8"/>
      <c r="S30" s="2" t="s">
        <v>186</v>
      </c>
    </row>
    <row r="31" spans="1:19" ht="21.75" customHeight="1" x14ac:dyDescent="0.35">
      <c r="A31" s="3">
        <v>254057</v>
      </c>
      <c r="B31" s="13" t="s">
        <v>163</v>
      </c>
      <c r="C31" s="13" t="s">
        <v>164</v>
      </c>
      <c r="D31" s="13" t="s">
        <v>132</v>
      </c>
      <c r="E31" s="14">
        <v>32420</v>
      </c>
      <c r="F31" s="15">
        <f t="shared" ca="1" si="3"/>
        <v>37</v>
      </c>
      <c r="G31" s="15">
        <f t="shared" ca="1" si="0"/>
        <v>1</v>
      </c>
      <c r="H31" s="11"/>
      <c r="I31" s="11"/>
      <c r="J31" s="11"/>
      <c r="K31" s="11"/>
      <c r="L31" s="16" t="str">
        <f t="shared" ca="1" si="1"/>
        <v/>
      </c>
      <c r="M31" s="16" t="str">
        <f t="shared" ca="1" si="2"/>
        <v/>
      </c>
      <c r="N31" s="13"/>
      <c r="O31" s="13"/>
      <c r="P31" s="13"/>
      <c r="Q31" s="13"/>
      <c r="S31" s="3" t="s">
        <v>186</v>
      </c>
    </row>
    <row r="32" spans="1:19" ht="21.75" customHeight="1" x14ac:dyDescent="0.35">
      <c r="A32" s="2">
        <v>237011</v>
      </c>
      <c r="B32" s="8" t="s">
        <v>165</v>
      </c>
      <c r="C32" s="8" t="s">
        <v>162</v>
      </c>
      <c r="D32" s="8" t="s">
        <v>132</v>
      </c>
      <c r="E32" s="9">
        <v>25410</v>
      </c>
      <c r="F32" s="10">
        <f t="shared" ca="1" si="3"/>
        <v>56</v>
      </c>
      <c r="G32" s="10">
        <f t="shared" ca="1" si="0"/>
        <v>3</v>
      </c>
      <c r="H32" s="11"/>
      <c r="I32" s="11"/>
      <c r="J32" s="11"/>
      <c r="K32" s="11"/>
      <c r="L32" s="12" t="str">
        <f t="shared" ca="1" si="1"/>
        <v/>
      </c>
      <c r="M32" s="12" t="str">
        <f t="shared" ca="1" si="2"/>
        <v/>
      </c>
      <c r="N32" s="8"/>
      <c r="O32" s="8"/>
      <c r="P32" s="8"/>
      <c r="Q32" s="8"/>
      <c r="S32" s="2" t="s">
        <v>186</v>
      </c>
    </row>
    <row r="33" spans="1:19" ht="21.75" customHeight="1" x14ac:dyDescent="0.35">
      <c r="A33" s="3">
        <v>267096</v>
      </c>
      <c r="B33" s="13" t="s">
        <v>166</v>
      </c>
      <c r="C33" s="13" t="s">
        <v>167</v>
      </c>
      <c r="D33" s="13" t="s">
        <v>132</v>
      </c>
      <c r="E33" s="14">
        <v>32140</v>
      </c>
      <c r="F33" s="15">
        <f t="shared" ca="1" si="3"/>
        <v>38</v>
      </c>
      <c r="G33" s="15">
        <f t="shared" ca="1" si="0"/>
        <v>1</v>
      </c>
      <c r="H33" s="11"/>
      <c r="I33" s="11"/>
      <c r="J33" s="11"/>
      <c r="K33" s="11"/>
      <c r="L33" s="16" t="str">
        <f t="shared" ca="1" si="1"/>
        <v/>
      </c>
      <c r="M33" s="16" t="str">
        <f t="shared" ca="1" si="2"/>
        <v/>
      </c>
      <c r="N33" s="13"/>
      <c r="O33" s="13"/>
      <c r="P33" s="13"/>
      <c r="Q33" s="13"/>
      <c r="S33" s="3" t="s">
        <v>186</v>
      </c>
    </row>
    <row r="34" spans="1:19" ht="21.75" customHeight="1" x14ac:dyDescent="0.35">
      <c r="A34" s="2">
        <v>249048</v>
      </c>
      <c r="B34" s="8" t="s">
        <v>168</v>
      </c>
      <c r="C34" s="8" t="s">
        <v>162</v>
      </c>
      <c r="D34" s="8" t="s">
        <v>132</v>
      </c>
      <c r="E34" s="9">
        <v>29299</v>
      </c>
      <c r="F34" s="10">
        <f t="shared" ca="1" si="3"/>
        <v>46</v>
      </c>
      <c r="G34" s="10">
        <f t="shared" ca="1" si="0"/>
        <v>1</v>
      </c>
      <c r="H34" s="11"/>
      <c r="I34" s="11"/>
      <c r="J34" s="11"/>
      <c r="K34" s="11"/>
      <c r="L34" s="12" t="str">
        <f t="shared" ca="1" si="1"/>
        <v/>
      </c>
      <c r="M34" s="12" t="str">
        <f t="shared" ca="1" si="2"/>
        <v/>
      </c>
      <c r="N34" s="8"/>
      <c r="O34" s="8"/>
      <c r="P34" s="8"/>
      <c r="Q34" s="8"/>
      <c r="S34" s="2" t="s">
        <v>186</v>
      </c>
    </row>
    <row r="35" spans="1:19" ht="21.75" customHeight="1" x14ac:dyDescent="0.35">
      <c r="A35" s="3">
        <v>269022</v>
      </c>
      <c r="B35" s="13" t="s">
        <v>169</v>
      </c>
      <c r="C35" s="13" t="s">
        <v>170</v>
      </c>
      <c r="D35" s="13" t="s">
        <v>132</v>
      </c>
      <c r="E35" s="14">
        <v>30852</v>
      </c>
      <c r="F35" s="15">
        <f t="shared" ca="1" si="3"/>
        <v>42</v>
      </c>
      <c r="G35" s="15">
        <f t="shared" ca="1" si="0"/>
        <v>1</v>
      </c>
      <c r="H35" s="11"/>
      <c r="I35" s="11"/>
      <c r="J35" s="11"/>
      <c r="K35" s="11"/>
      <c r="L35" s="16" t="str">
        <f t="shared" ca="1" si="1"/>
        <v/>
      </c>
      <c r="M35" s="16" t="str">
        <f t="shared" ca="1" si="2"/>
        <v/>
      </c>
      <c r="N35" s="13"/>
      <c r="O35" s="13"/>
      <c r="P35" s="13"/>
      <c r="Q35" s="13"/>
      <c r="S35" s="3" t="s">
        <v>186</v>
      </c>
    </row>
    <row r="36" spans="1:19" ht="21.75" customHeight="1" x14ac:dyDescent="0.35">
      <c r="A36" s="2">
        <v>253014</v>
      </c>
      <c r="B36" s="8" t="s">
        <v>171</v>
      </c>
      <c r="C36" s="8" t="s">
        <v>172</v>
      </c>
      <c r="D36" s="8" t="s">
        <v>131</v>
      </c>
      <c r="E36" s="9">
        <v>30611</v>
      </c>
      <c r="F36" s="10">
        <f t="shared" ca="1" si="3"/>
        <v>42</v>
      </c>
      <c r="G36" s="10">
        <f t="shared" ca="1" si="0"/>
        <v>1</v>
      </c>
      <c r="H36" s="11"/>
      <c r="I36" s="11"/>
      <c r="J36" s="11"/>
      <c r="K36" s="11"/>
      <c r="L36" s="12" t="str">
        <f t="shared" ca="1" si="1"/>
        <v/>
      </c>
      <c r="M36" s="12" t="str">
        <f t="shared" ca="1" si="2"/>
        <v/>
      </c>
      <c r="N36" s="8"/>
      <c r="O36" s="8"/>
      <c r="P36" s="8"/>
      <c r="Q36" s="8"/>
      <c r="S36" s="2" t="s">
        <v>186</v>
      </c>
    </row>
    <row r="37" spans="1:19" ht="21.75" customHeight="1" x14ac:dyDescent="0.35">
      <c r="A37" s="3">
        <v>248031</v>
      </c>
      <c r="B37" s="13" t="s">
        <v>173</v>
      </c>
      <c r="C37" s="13" t="s">
        <v>174</v>
      </c>
      <c r="D37" s="13" t="s">
        <v>131</v>
      </c>
      <c r="E37" s="14">
        <v>29617</v>
      </c>
      <c r="F37" s="15">
        <f t="shared" ca="1" si="3"/>
        <v>45</v>
      </c>
      <c r="G37" s="15">
        <f t="shared" ca="1" si="0"/>
        <v>1</v>
      </c>
      <c r="H37" s="11"/>
      <c r="I37" s="11"/>
      <c r="J37" s="11"/>
      <c r="K37" s="11"/>
      <c r="L37" s="16" t="str">
        <f t="shared" ca="1" si="1"/>
        <v/>
      </c>
      <c r="M37" s="16" t="str">
        <f t="shared" ca="1" si="2"/>
        <v/>
      </c>
      <c r="N37" s="13"/>
      <c r="O37" s="13"/>
      <c r="P37" s="13"/>
      <c r="Q37" s="13"/>
      <c r="S37" s="3" t="s">
        <v>186</v>
      </c>
    </row>
    <row r="38" spans="1:19" ht="21.75" customHeight="1" x14ac:dyDescent="0.35">
      <c r="A38" s="2">
        <v>251007</v>
      </c>
      <c r="B38" s="8" t="s">
        <v>175</v>
      </c>
      <c r="C38" s="8" t="s">
        <v>176</v>
      </c>
      <c r="D38" s="8" t="s">
        <v>131</v>
      </c>
      <c r="E38" s="9">
        <v>30522</v>
      </c>
      <c r="F38" s="10">
        <f t="shared" ca="1" si="3"/>
        <v>42</v>
      </c>
      <c r="G38" s="10">
        <f t="shared" ca="1" si="0"/>
        <v>1</v>
      </c>
      <c r="H38" s="11"/>
      <c r="I38" s="11"/>
      <c r="J38" s="11"/>
      <c r="K38" s="11"/>
      <c r="L38" s="12" t="str">
        <f t="shared" ca="1" si="1"/>
        <v/>
      </c>
      <c r="M38" s="12" t="str">
        <f t="shared" ca="1" si="2"/>
        <v/>
      </c>
      <c r="N38" s="8"/>
      <c r="O38" s="8"/>
      <c r="P38" s="8"/>
      <c r="Q38" s="8"/>
      <c r="S38" s="2" t="s">
        <v>186</v>
      </c>
    </row>
    <row r="39" spans="1:19" ht="21.75" customHeight="1" x14ac:dyDescent="0.35">
      <c r="A39" s="3">
        <v>242012</v>
      </c>
      <c r="B39" s="13" t="s">
        <v>177</v>
      </c>
      <c r="C39" s="13" t="s">
        <v>178</v>
      </c>
      <c r="D39" s="13" t="s">
        <v>132</v>
      </c>
      <c r="E39" s="14">
        <v>28064</v>
      </c>
      <c r="F39" s="15">
        <f t="shared" ca="1" si="3"/>
        <v>49</v>
      </c>
      <c r="G39" s="15">
        <f t="shared" ca="1" si="0"/>
        <v>1</v>
      </c>
      <c r="H39" s="11"/>
      <c r="I39" s="11"/>
      <c r="J39" s="11"/>
      <c r="K39" s="11"/>
      <c r="L39" s="16" t="str">
        <f t="shared" ca="1" si="1"/>
        <v/>
      </c>
      <c r="M39" s="16" t="str">
        <f t="shared" ca="1" si="2"/>
        <v/>
      </c>
      <c r="N39" s="13"/>
      <c r="O39" s="13"/>
      <c r="P39" s="13"/>
      <c r="Q39" s="13"/>
      <c r="S39" s="3" t="s">
        <v>186</v>
      </c>
    </row>
    <row r="40" spans="1:19" ht="21.75" customHeight="1" x14ac:dyDescent="0.35">
      <c r="A40" s="2">
        <v>257039</v>
      </c>
      <c r="B40" s="8" t="s">
        <v>179</v>
      </c>
      <c r="C40" s="8" t="s">
        <v>180</v>
      </c>
      <c r="D40" s="8" t="s">
        <v>132</v>
      </c>
      <c r="E40" s="9">
        <v>32578</v>
      </c>
      <c r="F40" s="10">
        <f t="shared" ca="1" si="3"/>
        <v>37</v>
      </c>
      <c r="G40" s="10">
        <f t="shared" ca="1" si="0"/>
        <v>1</v>
      </c>
      <c r="H40" s="11"/>
      <c r="I40" s="11"/>
      <c r="J40" s="11"/>
      <c r="K40" s="11"/>
      <c r="L40" s="12" t="str">
        <f t="shared" ca="1" si="1"/>
        <v/>
      </c>
      <c r="M40" s="12" t="str">
        <f t="shared" ca="1" si="2"/>
        <v/>
      </c>
      <c r="N40" s="8"/>
      <c r="O40" s="8"/>
      <c r="P40" s="8"/>
      <c r="Q40" s="8"/>
      <c r="S40" s="2" t="s">
        <v>186</v>
      </c>
    </row>
    <row r="41" spans="1:19" ht="21.75" customHeight="1" x14ac:dyDescent="0.35">
      <c r="A41" s="3">
        <v>244023</v>
      </c>
      <c r="B41" s="13" t="s">
        <v>181</v>
      </c>
      <c r="C41" s="13" t="s">
        <v>182</v>
      </c>
      <c r="D41" s="13" t="s">
        <v>131</v>
      </c>
      <c r="E41" s="14">
        <v>27775</v>
      </c>
      <c r="F41" s="15">
        <f t="shared" ca="1" si="3"/>
        <v>50</v>
      </c>
      <c r="G41" s="15">
        <f t="shared" ca="1" si="0"/>
        <v>2</v>
      </c>
      <c r="H41" s="11"/>
      <c r="I41" s="11"/>
      <c r="J41" s="11"/>
      <c r="K41" s="11"/>
      <c r="L41" s="16" t="str">
        <f t="shared" ca="1" si="1"/>
        <v/>
      </c>
      <c r="M41" s="16" t="str">
        <f t="shared" ca="1" si="2"/>
        <v/>
      </c>
      <c r="N41" s="13"/>
      <c r="O41" s="13"/>
      <c r="P41" s="13"/>
      <c r="Q41" s="13"/>
      <c r="S41" s="3" t="s">
        <v>186</v>
      </c>
    </row>
    <row r="42" spans="1:19" ht="21.75" customHeight="1" x14ac:dyDescent="0.35">
      <c r="A42" s="2">
        <v>241009</v>
      </c>
      <c r="B42" s="8" t="s">
        <v>115</v>
      </c>
      <c r="C42" s="8" t="s">
        <v>116</v>
      </c>
      <c r="D42" s="8" t="s">
        <v>88</v>
      </c>
      <c r="E42" s="9">
        <v>28315</v>
      </c>
      <c r="F42" s="10">
        <f t="shared" ca="1" si="3"/>
        <v>48</v>
      </c>
      <c r="G42" s="10">
        <f t="shared" ca="1" si="0"/>
        <v>1</v>
      </c>
      <c r="H42" s="11"/>
      <c r="I42" s="11"/>
      <c r="J42" s="11"/>
      <c r="K42" s="11"/>
      <c r="L42" s="12" t="str">
        <f t="shared" ca="1" si="1"/>
        <v/>
      </c>
      <c r="M42" s="12" t="str">
        <f t="shared" ca="1" si="2"/>
        <v/>
      </c>
      <c r="N42" s="8"/>
      <c r="O42" s="8"/>
      <c r="P42" s="8"/>
      <c r="Q42" s="8"/>
      <c r="S42" s="2" t="s">
        <v>187</v>
      </c>
    </row>
    <row r="43" spans="1:19" ht="21.75" customHeight="1" x14ac:dyDescent="0.35">
      <c r="A43" s="3">
        <v>368001</v>
      </c>
      <c r="B43" s="13" t="s">
        <v>117</v>
      </c>
      <c r="C43" s="13" t="s">
        <v>118</v>
      </c>
      <c r="D43" s="13" t="s">
        <v>88</v>
      </c>
      <c r="E43" s="14">
        <v>30299</v>
      </c>
      <c r="F43" s="15">
        <f t="shared" ca="1" si="3"/>
        <v>43</v>
      </c>
      <c r="G43" s="15">
        <f t="shared" ca="1" si="0"/>
        <v>1</v>
      </c>
      <c r="H43" s="11"/>
      <c r="I43" s="11"/>
      <c r="J43" s="11"/>
      <c r="K43" s="11"/>
      <c r="L43" s="16" t="str">
        <f t="shared" ca="1" si="1"/>
        <v/>
      </c>
      <c r="M43" s="16" t="str">
        <f t="shared" ca="1" si="2"/>
        <v/>
      </c>
      <c r="N43" s="13"/>
      <c r="O43" s="13"/>
      <c r="P43" s="13"/>
      <c r="Q43" s="13"/>
      <c r="S43" s="3" t="s">
        <v>187</v>
      </c>
    </row>
    <row r="44" spans="1:19" ht="21.75" customHeight="1" x14ac:dyDescent="0.35">
      <c r="A44" s="2">
        <v>148005</v>
      </c>
      <c r="B44" s="8" t="s">
        <v>119</v>
      </c>
      <c r="C44" s="8" t="s">
        <v>120</v>
      </c>
      <c r="D44" s="8" t="s">
        <v>88</v>
      </c>
      <c r="E44" s="9">
        <v>27329</v>
      </c>
      <c r="F44" s="10">
        <f t="shared" ca="1" si="3"/>
        <v>51</v>
      </c>
      <c r="G44" s="10">
        <f t="shared" ca="1" si="0"/>
        <v>2</v>
      </c>
      <c r="H44" s="11"/>
      <c r="I44" s="11"/>
      <c r="J44" s="11"/>
      <c r="K44" s="11"/>
      <c r="L44" s="12" t="str">
        <f t="shared" ca="1" si="1"/>
        <v/>
      </c>
      <c r="M44" s="12" t="str">
        <f t="shared" ca="1" si="2"/>
        <v/>
      </c>
      <c r="N44" s="8"/>
      <c r="O44" s="8"/>
      <c r="P44" s="8"/>
      <c r="Q44" s="8"/>
      <c r="S44" s="2" t="s">
        <v>187</v>
      </c>
    </row>
    <row r="45" spans="1:19" ht="21.75" customHeight="1" x14ac:dyDescent="0.35">
      <c r="A45" s="2">
        <v>267071</v>
      </c>
      <c r="B45" s="8" t="s">
        <v>86</v>
      </c>
      <c r="C45" s="8" t="s">
        <v>87</v>
      </c>
      <c r="D45" s="8" t="s">
        <v>88</v>
      </c>
      <c r="E45" s="9">
        <v>28726</v>
      </c>
      <c r="F45" s="10">
        <f t="shared" ca="1" si="3"/>
        <v>47</v>
      </c>
      <c r="G45" s="10">
        <f t="shared" ca="1" si="0"/>
        <v>1</v>
      </c>
      <c r="H45" s="11"/>
      <c r="I45" s="11"/>
      <c r="J45" s="11"/>
      <c r="K45" s="11"/>
      <c r="L45" s="12" t="str">
        <f t="shared" ca="1" si="1"/>
        <v/>
      </c>
      <c r="M45" s="12" t="str">
        <f t="shared" ca="1" si="2"/>
        <v/>
      </c>
      <c r="N45" s="8"/>
      <c r="O45" s="8"/>
      <c r="P45" s="8"/>
      <c r="Q45" s="8"/>
      <c r="S45" s="2" t="s">
        <v>184</v>
      </c>
    </row>
    <row r="46" spans="1:19" ht="21.75" customHeight="1" x14ac:dyDescent="0.35">
      <c r="A46" s="3">
        <v>268051</v>
      </c>
      <c r="B46" s="13" t="s">
        <v>89</v>
      </c>
      <c r="C46" s="13" t="s">
        <v>90</v>
      </c>
      <c r="D46" s="13" t="s">
        <v>88</v>
      </c>
      <c r="E46" s="14">
        <v>37469</v>
      </c>
      <c r="F46" s="15">
        <f t="shared" ca="1" si="3"/>
        <v>23</v>
      </c>
      <c r="G46" s="15">
        <f t="shared" ca="1" si="0"/>
        <v>1</v>
      </c>
      <c r="H46" s="11"/>
      <c r="I46" s="11"/>
      <c r="J46" s="11"/>
      <c r="K46" s="11"/>
      <c r="L46" s="16" t="str">
        <f t="shared" ca="1" si="1"/>
        <v/>
      </c>
      <c r="M46" s="16" t="str">
        <f t="shared" ca="1" si="2"/>
        <v/>
      </c>
      <c r="N46" s="13"/>
      <c r="O46" s="13"/>
      <c r="P46" s="13"/>
      <c r="Q46" s="13"/>
      <c r="S46" s="3" t="s">
        <v>184</v>
      </c>
    </row>
    <row r="47" spans="1:19" ht="21.75" customHeight="1" x14ac:dyDescent="0.35">
      <c r="A47" s="2">
        <v>269032</v>
      </c>
      <c r="B47" s="8" t="s">
        <v>91</v>
      </c>
      <c r="C47" s="8" t="s">
        <v>92</v>
      </c>
      <c r="D47" s="8" t="s">
        <v>88</v>
      </c>
      <c r="E47" s="9">
        <v>30484</v>
      </c>
      <c r="F47" s="10">
        <f t="shared" ca="1" si="3"/>
        <v>43</v>
      </c>
      <c r="G47" s="10">
        <f t="shared" ca="1" si="0"/>
        <v>1</v>
      </c>
      <c r="H47" s="11"/>
      <c r="I47" s="11"/>
      <c r="J47" s="11"/>
      <c r="K47" s="11"/>
      <c r="L47" s="12" t="str">
        <f t="shared" ca="1" si="1"/>
        <v/>
      </c>
      <c r="M47" s="12" t="str">
        <f t="shared" ca="1" si="2"/>
        <v/>
      </c>
      <c r="N47" s="8"/>
      <c r="O47" s="8"/>
      <c r="P47" s="8"/>
      <c r="Q47" s="8"/>
      <c r="S47" s="2" t="s">
        <v>184</v>
      </c>
    </row>
    <row r="48" spans="1:19" ht="21.75" customHeight="1" x14ac:dyDescent="0.35">
      <c r="A48" s="3">
        <v>250051</v>
      </c>
      <c r="B48" s="13" t="s">
        <v>93</v>
      </c>
      <c r="C48" s="13" t="s">
        <v>94</v>
      </c>
      <c r="D48" s="13" t="s">
        <v>88</v>
      </c>
      <c r="E48" s="14">
        <v>29866</v>
      </c>
      <c r="F48" s="15">
        <f t="shared" ca="1" si="3"/>
        <v>44</v>
      </c>
      <c r="G48" s="15">
        <f t="shared" ca="1" si="0"/>
        <v>1</v>
      </c>
      <c r="H48" s="11"/>
      <c r="I48" s="11"/>
      <c r="J48" s="11"/>
      <c r="K48" s="11"/>
      <c r="L48" s="16" t="str">
        <f t="shared" ca="1" si="1"/>
        <v/>
      </c>
      <c r="M48" s="16" t="str">
        <f t="shared" ca="1" si="2"/>
        <v/>
      </c>
      <c r="N48" s="13"/>
      <c r="O48" s="13"/>
      <c r="P48" s="13"/>
      <c r="Q48" s="13"/>
      <c r="S48" s="3" t="s">
        <v>184</v>
      </c>
    </row>
  </sheetData>
  <autoFilter ref="A2:S48" xr:uid="{00000000-0001-0000-0100-000000000000}"/>
  <sortState xmlns:xlrd2="http://schemas.microsoft.com/office/spreadsheetml/2017/richdata2" ref="A3:S48">
    <sortCondition ref="S3:S48"/>
  </sortState>
  <mergeCells count="1">
    <mergeCell ref="A1:Q1"/>
  </mergeCells>
  <dataValidations count="3">
    <dataValidation type="list" allowBlank="1" sqref="H3:H48 J3:K48" xr:uid="{00000000-0002-0000-0100-000000000000}">
      <formula1>"1,2,3,4,5"</formula1>
      <formula2>0</formula2>
    </dataValidation>
    <dataValidation type="list" allowBlank="1" sqref="I3:I48" xr:uid="{00000000-0002-0000-0100-000001000000}">
      <formula1>"1,3,5"</formula1>
      <formula2>0</formula2>
    </dataValidation>
    <dataValidation type="list" allowBlank="1" sqref="O3:O48" xr:uid="{00000000-0002-0000-01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2026-06-25T06:42:13Z</dcterms:created>
  <dcterms:modified xsi:type="dcterms:W3CDTF">2026-07-06T06:26:34Z</dcterms:modified>
  <dc:language>en-US</dc:language>
</cp:coreProperties>
</file>