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60" documentId="8_{403FDADD-8B2B-43ED-91C4-EFCFAA5913E5}" xr6:coauthVersionLast="47" xr6:coauthVersionMax="47" xr10:uidLastSave="{7A6435A2-154B-4088-9882-52F253894541}"/>
  <bookViews>
    <workbookView xWindow="-110" yWindow="-110" windowWidth="19420" windowHeight="103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8" i="1" l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<sst xmlns="http://schemas.openxmlformats.org/spreadsheetml/2006/main" count="670" uniqueCount="300">
  <si>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</si>
  <si>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</si>
  <si>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</si>
  <si>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</si>
  <si>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</si>
  <si>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</si>
  <si>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</si>
  <si>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</si>
  <si>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</si>
  <si>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</si>
  <si>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</si>
  <si>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</si>
  <si>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</si>
  <si>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</si>
  <si>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</si>
  <si>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</si>
  <si>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</si>
  <si>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</si>
  <si>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</si>
  <si>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</si>
  <si>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</si>
  <si>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</si>
  <si>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</si>
  <si>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</si>
  <si>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</si>
  <si>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</si>
  <si>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</si>
  <si>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</si>
  <si>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</si>
  <si>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</si>
  <si>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</si>
  <si>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</si>
  <si>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</si>
  <si>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</si>
  <si>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</si>
  <si>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</si>
  <si>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</si>
  <si>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</si>
  <si>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</si>
  <si>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</si>
  <si>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</si>
  <si>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</si>
  <si>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</si>
  <si>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</si>
  <si>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</si>
  <si>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</si>
  <si>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</si>
  <si>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</si>
  <si>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</si>
  <si>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</si>
  <si>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</si>
  <si>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</si>
  <si>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</si>
  <si>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</si>
  <si>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</si>
  <si>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</si>
  <si>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</si>
  <si>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</si>
  <si>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</si>
  <si>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</si>
  <si>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</si>
  <si>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</si>
  <si>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</si>
  <si>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</si>
  <si>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</si>
  <si>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</si>
  <si>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</si>
  <si>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</si>
  <si>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</si>
  <si>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</si>
  <si>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</si>
  <si>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</si>
  <si>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</si>
  <si>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</si>
  <si>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</si>
  <si>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</si>
  <si>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</si>
  <si>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</si>
  <si>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</si>
  <si>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</si>
  <si>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</si>
  <si>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</si>
  <si>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</si>
  <si>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</si>
  <si>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</si>
  <si>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</si>
  <si>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</si>
  <si>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</si>
  <si>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</si>
  <si>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</si>
  <si>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</si>
  <si>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</si>
  <si>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</si>
  <si>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</si>
  <si>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</si>
  <si>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</si>
  <si>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</si>
  <si>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</si>
  <si>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</si>
  <si>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</si>
  <si>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</si>
  <si>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</si>
  <si>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</si>
  <si>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</si>
  <si>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</si>
  <si>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</si>
  <si>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</si>
  <si>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</si>
  <si>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</si>
  <si>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</si>
  <si>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</si>
  <si>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</si>
  <si>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</si>
  <si>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</si>
  <si>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</si>
  <si>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</si>
  <si>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</si>
  <si>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</si>
  <si>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</si>
  <si>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</si>
  <si>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</si>
  <si>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</si>
  <si>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</si>
  <si>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</si>
  <si>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</si>
  <si>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</si>
  <si>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</si>
  <si>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</si>
  <si>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</si>
  <si>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</si>
  <si>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</si>
  <si>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</si>
  <si>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</si>
  <si>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</si>
  <si>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</si>
  <si>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</si>
  <si>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</si>
  <si>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</si>
  <si>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</si>
  <si>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</si>
  <si>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</si>
  <si>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</si>
  <si>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</si>
  <si>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</si>
  <si>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</si>
  <si>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</si>
  <si>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</si>
  <si>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</si>
  <si>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</si>
  <si>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</si>
  <si>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</si>
  <si>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</si>
  <si>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</si>
  <si>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</si>
  <si>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</si>
  <si>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</si>
  <si>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</si>
  <si>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</si>
  <si>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</si>
  <si>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</si>
  <si>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</si>
  <si>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</si>
  <si>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</si>
  <si>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</si>
  <si>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</si>
  <si>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</si>
  <si>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</si>
  <si>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</si>
  <si>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</si>
  <si>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</si>
  <si>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</si>
  <si>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</si>
  <si>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</si>
  <si>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</si>
  <si>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</si>
  <si>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</si>
  <si>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</si>
  <si>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</si>
  <si>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</si>
  <si>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</si>
  <si>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</si>
  <si>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</si>
  <si>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</si>
  <si>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</si>
  <si>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</si>
  <si>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</si>
  <si>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</si>
  <si>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</si>
  <si>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</si>
  <si>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</si>
  <si>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</si>
  <si>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</si>
  <si>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</si>
  <si>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</si>
  <si>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</si>
  <si>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</si>
  <si>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</si>
  <si>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</si>
  <si>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</si>
  <si>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</si>
  <si>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</si>
  <si>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</si>
  <si>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</si>
  <si>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</si>
  <si>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</si>
  <si>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</si>
  <si>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</si>
  <si>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</si>
  <si>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</si>
  <si>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</si>
  <si>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</si>
  <si>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</si>
  <si>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</si>
  <si>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</si>
  <si>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</si>
  <si>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</si>
  <si>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</si>
  <si>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</si>
  <si>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</si>
  <si>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</si>
  <si>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</si>
  <si>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</si>
  <si>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</si>
  <si>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</si>
  <si>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</si>
  <si>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</si>
  <si>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</si>
  <si>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</si>
  <si>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</si>
  <si>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</si>
  <si>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</si>
  <si>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</si>
  <si>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</si>
  <si>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</si>
  <si>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</si>
  <si>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</si>
  <si>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</si>
  <si>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</si>
  <si>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</si>
  <si>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</si>
  <si>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</si>
  <si>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</si>
  <si>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</si>
  <si>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</si>
  <si>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</si>
  <si>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</si>
  <si>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</si>
  <si>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</si>
  <si>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</si>
  <si>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</si>
  <si>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</si>
  <si>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</si>
  <si>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</si>
  <si>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</si>
  <si>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</si>
  <si>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</si>
  <si>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</si>
  <si>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</si>
  <si>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</si>
  <si>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</si>
  <si>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</si>
  <si>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</si>
  <si>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</si>
  <si>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</si>
  <si>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</si>
  <si>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</si>
  <si>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</si>
  <si>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</si>
  <si>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</si>
  <si>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</si>
  <si>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</si>
  <si>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</si>
  <si>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</si>
  <si>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</si>
  <si>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</si>
  <si>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</si>
  <si>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</si>
  <si>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</si>
  <si>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</si>
  <si>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</si>
  <si>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</si>
  <si>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</si>
  <si>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</si>
  <si>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</si>
  <si>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</si>
  <si>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</si>
  <si>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 xml:space="preserve">รอพี่วุฒิแจ้ง </t>
  </si>
  <si>
    <t>149024 A_Acting Procurement Manager.docx</t>
  </si>
  <si>
    <t>266049_Department Manager Human Resources.docx</t>
  </si>
  <si>
    <t>368004_Contract-Procurement.docx</t>
  </si>
  <si>
    <t>Leadership</t>
  </si>
  <si>
    <t>Change Implementation</t>
  </si>
  <si>
    <t>Initiative &amp; Innovation</t>
  </si>
  <si>
    <t>Quality Orientation</t>
  </si>
  <si>
    <t>Result &amp; Cost Driven</t>
  </si>
  <si>
    <t>Teamwork</t>
  </si>
  <si>
    <t>Communication</t>
  </si>
  <si>
    <t xml:space="preserve">Service Orientation </t>
  </si>
  <si>
    <t>Problem Solving &amp; Decision Making</t>
  </si>
  <si>
    <t>ไม่มีผลประเมิน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</si>
</sst>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58" t="s">
        <v>18</v>
      </c>
      <c r="C2" s="58"/>
      <c r="D2" s="58"/>
      <c r="E2" s="58"/>
      <c r="F2" s="58"/>
      <c r="G2" s="58"/>
    </row>
    <row r="4" spans="2:7" ht="19.5" customHeight="1" x14ac:dyDescent="0.35">
      <c r="B4" s="59" t="s">
        <v>19</v>
      </c>
      <c r="C4" s="59"/>
      <c r="D4" s="59"/>
      <c r="E4" s="59"/>
      <c r="F4" s="59"/>
      <c r="G4" s="59"/>
    </row>
    <row r="6" spans="2:7" ht="25.5" customHeight="1" x14ac:dyDescent="0.35">
      <c r="B6" s="47" t="s">
        <v>20</v>
      </c>
      <c r="C6" s="47"/>
      <c r="D6" s="47"/>
      <c r="E6" s="47"/>
      <c r="F6" s="47"/>
      <c r="G6" s="47"/>
    </row>
    <row r="7" spans="2:7" ht="19.5" customHeight="1" x14ac:dyDescent="0.35">
      <c r="B7" s="45" t="s">
        <v>21</v>
      </c>
      <c r="C7" s="45"/>
      <c r="D7" s="45"/>
      <c r="E7" s="45"/>
      <c r="F7" s="45"/>
      <c r="G7" s="45"/>
    </row>
    <row r="8" spans="2:7" x14ac:dyDescent="0.35">
      <c r="B8" s="1" t="s">
        <v>22</v>
      </c>
      <c r="C8" s="60" t="s">
        <v>23</v>
      </c>
      <c r="D8" s="60"/>
      <c r="E8" s="60"/>
      <c r="F8" s="60"/>
      <c r="G8" s="60"/>
    </row>
    <row r="9" spans="2:7" x14ac:dyDescent="0.35">
      <c r="B9" s="2">
        <v>1</v>
      </c>
      <c r="C9" s="49" t="s">
        <v>24</v>
      </c>
      <c r="D9" s="49"/>
      <c r="E9" s="49"/>
      <c r="F9" s="49"/>
      <c r="G9" s="49"/>
    </row>
    <row r="10" spans="2:7" x14ac:dyDescent="0.35">
      <c r="B10" s="2">
        <v>2</v>
      </c>
      <c r="C10" s="49" t="s">
        <v>25</v>
      </c>
      <c r="D10" s="49"/>
      <c r="E10" s="49"/>
      <c r="F10" s="49"/>
      <c r="G10" s="49"/>
    </row>
    <row r="11" spans="2:7" x14ac:dyDescent="0.35">
      <c r="B11" s="2">
        <v>3</v>
      </c>
      <c r="C11" s="49" t="s">
        <v>26</v>
      </c>
      <c r="D11" s="49"/>
      <c r="E11" s="49"/>
      <c r="F11" s="49"/>
      <c r="G11" s="49"/>
    </row>
    <row r="12" spans="2:7" x14ac:dyDescent="0.35">
      <c r="B12" s="2">
        <v>4</v>
      </c>
      <c r="C12" s="49" t="s">
        <v>27</v>
      </c>
      <c r="D12" s="49"/>
      <c r="E12" s="49"/>
      <c r="F12" s="49"/>
      <c r="G12" s="49"/>
    </row>
    <row r="13" spans="2:7" x14ac:dyDescent="0.35">
      <c r="B13" s="2">
        <v>5</v>
      </c>
      <c r="C13" s="49" t="s">
        <v>28</v>
      </c>
      <c r="D13" s="49"/>
      <c r="E13" s="49"/>
      <c r="F13" s="49"/>
      <c r="G13" s="49"/>
    </row>
    <row r="15" spans="2:7" ht="19.5" customHeight="1" x14ac:dyDescent="0.35">
      <c r="B15" s="53" t="s">
        <v>29</v>
      </c>
      <c r="C15" s="53"/>
      <c r="D15" s="53"/>
      <c r="E15" s="53"/>
      <c r="F15" s="53"/>
      <c r="G15" s="53"/>
    </row>
    <row r="16" spans="2:7" ht="19.5" customHeight="1" x14ac:dyDescent="0.35">
      <c r="B16" s="46" t="s">
        <v>30</v>
      </c>
      <c r="C16" s="46"/>
      <c r="D16" s="46"/>
      <c r="E16" s="46"/>
      <c r="F16" s="46"/>
      <c r="G16" s="46"/>
    </row>
    <row r="17" spans="2:7" ht="19.5" customHeight="1" x14ac:dyDescent="0.35">
      <c r="B17" s="46" t="s">
        <v>31</v>
      </c>
      <c r="C17" s="46"/>
      <c r="D17" s="46"/>
      <c r="E17" s="46"/>
      <c r="F17" s="46"/>
      <c r="G17" s="46"/>
    </row>
    <row r="18" spans="2:7" ht="19.5" customHeight="1" x14ac:dyDescent="0.35">
      <c r="B18" s="46" t="s">
        <v>32</v>
      </c>
      <c r="C18" s="46"/>
      <c r="D18" s="46"/>
      <c r="E18" s="46"/>
      <c r="F18" s="46"/>
      <c r="G18" s="46"/>
    </row>
    <row r="19" spans="2:7" ht="19.5" customHeight="1" x14ac:dyDescent="0.35">
      <c r="B19" s="46" t="s">
        <v>33</v>
      </c>
      <c r="C19" s="46"/>
      <c r="D19" s="46"/>
      <c r="E19" s="46"/>
      <c r="F19" s="46"/>
      <c r="G19" s="46"/>
    </row>
    <row r="20" spans="2:7" ht="19.5" customHeight="1" x14ac:dyDescent="0.35">
      <c r="B20" s="46" t="s">
        <v>34</v>
      </c>
      <c r="C20" s="46"/>
      <c r="D20" s="46"/>
      <c r="E20" s="46"/>
      <c r="F20" s="46"/>
      <c r="G20" s="46"/>
    </row>
    <row r="22" spans="2:7" ht="25.5" customHeight="1" x14ac:dyDescent="0.35">
      <c r="B22" s="47" t="s">
        <v>35</v>
      </c>
      <c r="C22" s="47"/>
      <c r="D22" s="47"/>
      <c r="E22" s="47"/>
      <c r="F22" s="47"/>
      <c r="G22" s="47"/>
    </row>
    <row r="23" spans="2:7" ht="19.5" customHeight="1" x14ac:dyDescent="0.35">
      <c r="B23" s="53" t="s">
        <v>36</v>
      </c>
      <c r="C23" s="53"/>
      <c r="D23" s="53"/>
      <c r="E23" s="53"/>
      <c r="F23" s="53"/>
      <c r="G23" s="53"/>
    </row>
    <row r="25" spans="2:7" ht="19.5" customHeight="1" x14ac:dyDescent="0.35">
      <c r="B25" s="54" t="s">
        <v>37</v>
      </c>
      <c r="C25" s="54"/>
      <c r="D25" s="54"/>
      <c r="E25" s="54"/>
      <c r="F25" s="54"/>
      <c r="G25" s="54"/>
    </row>
    <row r="26" spans="2:7" x14ac:dyDescent="0.35">
      <c r="B26" s="56" t="s">
        <v>38</v>
      </c>
      <c r="C26" s="56"/>
      <c r="D26" s="56"/>
      <c r="E26" s="56"/>
      <c r="F26" s="57" t="s">
        <v>39</v>
      </c>
      <c r="G26" s="57"/>
    </row>
    <row r="27" spans="2:7" x14ac:dyDescent="0.35">
      <c r="B27" s="56" t="s">
        <v>40</v>
      </c>
      <c r="C27" s="56"/>
      <c r="D27" s="56"/>
      <c r="E27" s="56"/>
      <c r="F27" s="57" t="s">
        <v>41</v>
      </c>
      <c r="G27" s="57"/>
    </row>
    <row r="28" spans="2:7" x14ac:dyDescent="0.35">
      <c r="B28" s="56" t="s">
        <v>42</v>
      </c>
      <c r="C28" s="56"/>
      <c r="D28" s="56"/>
      <c r="E28" s="56"/>
      <c r="F28" s="57" t="s">
        <v>43</v>
      </c>
      <c r="G28" s="57"/>
    </row>
    <row r="29" spans="2:7" x14ac:dyDescent="0.35">
      <c r="B29" s="56" t="s">
        <v>44</v>
      </c>
      <c r="C29" s="56"/>
      <c r="D29" s="56"/>
      <c r="E29" s="56"/>
      <c r="F29" s="57" t="s">
        <v>45</v>
      </c>
      <c r="G29" s="57"/>
    </row>
    <row r="30" spans="2:7" x14ac:dyDescent="0.35">
      <c r="B30" s="56" t="s">
        <v>46</v>
      </c>
      <c r="C30" s="56"/>
      <c r="D30" s="56"/>
      <c r="E30" s="56"/>
      <c r="F30" s="57" t="s">
        <v>47</v>
      </c>
      <c r="G30" s="57"/>
    </row>
    <row r="32" spans="2:7" ht="19.5" customHeight="1" x14ac:dyDescent="0.35">
      <c r="B32" s="53" t="s">
        <v>48</v>
      </c>
      <c r="C32" s="53"/>
      <c r="D32" s="53"/>
      <c r="E32" s="53"/>
      <c r="F32" s="53"/>
      <c r="G32" s="53"/>
    </row>
    <row r="33" spans="2:7" x14ac:dyDescent="0.35">
      <c r="B33" s="2">
        <v>1</v>
      </c>
      <c r="C33" s="49" t="s">
        <v>49</v>
      </c>
      <c r="D33" s="49"/>
      <c r="E33" s="49"/>
      <c r="F33" s="49"/>
      <c r="G33" s="49"/>
    </row>
    <row r="34" spans="2:7" x14ac:dyDescent="0.35">
      <c r="B34" s="2">
        <v>3</v>
      </c>
      <c r="C34" s="49" t="s">
        <v>50</v>
      </c>
      <c r="D34" s="49"/>
      <c r="E34" s="49"/>
      <c r="F34" s="49"/>
      <c r="G34" s="49"/>
    </row>
    <row r="35" spans="2:7" x14ac:dyDescent="0.35">
      <c r="B35" s="2">
        <v>5</v>
      </c>
      <c r="C35" s="49" t="s">
        <v>51</v>
      </c>
      <c r="D35" s="49"/>
      <c r="E35" s="49"/>
      <c r="F35" s="49"/>
      <c r="G35" s="49"/>
    </row>
    <row r="37" spans="2:7" ht="19.5" customHeight="1" x14ac:dyDescent="0.35">
      <c r="B37" s="53" t="s">
        <v>52</v>
      </c>
      <c r="C37" s="53"/>
      <c r="D37" s="53"/>
      <c r="E37" s="53"/>
      <c r="F37" s="53"/>
      <c r="G37" s="53"/>
    </row>
    <row r="38" spans="2:7" x14ac:dyDescent="0.35">
      <c r="B38" s="2">
        <v>1</v>
      </c>
      <c r="C38" s="49" t="s">
        <v>53</v>
      </c>
      <c r="D38" s="49"/>
      <c r="E38" s="49"/>
      <c r="F38" s="49"/>
      <c r="G38" s="49"/>
    </row>
    <row r="39" spans="2:7" x14ac:dyDescent="0.35">
      <c r="B39" s="2">
        <v>2</v>
      </c>
      <c r="C39" s="49" t="s">
        <v>54</v>
      </c>
      <c r="D39" s="49"/>
      <c r="E39" s="49"/>
      <c r="F39" s="49"/>
      <c r="G39" s="49"/>
    </row>
    <row r="40" spans="2:7" x14ac:dyDescent="0.35">
      <c r="B40" s="2">
        <v>3</v>
      </c>
      <c r="C40" s="49" t="s">
        <v>55</v>
      </c>
      <c r="D40" s="49"/>
      <c r="E40" s="49"/>
      <c r="F40" s="49"/>
      <c r="G40" s="49"/>
    </row>
    <row r="41" spans="2:7" x14ac:dyDescent="0.35">
      <c r="B41" s="2">
        <v>4</v>
      </c>
      <c r="C41" s="49" t="s">
        <v>56</v>
      </c>
      <c r="D41" s="49"/>
      <c r="E41" s="49"/>
      <c r="F41" s="49"/>
      <c r="G41" s="49"/>
    </row>
    <row r="42" spans="2:7" x14ac:dyDescent="0.35">
      <c r="B42" s="2">
        <v>5</v>
      </c>
      <c r="C42" s="49" t="s">
        <v>57</v>
      </c>
      <c r="D42" s="49"/>
      <c r="E42" s="49"/>
      <c r="F42" s="49"/>
      <c r="G42" s="49"/>
    </row>
    <row r="44" spans="2:7" ht="19.5" customHeight="1" x14ac:dyDescent="0.35">
      <c r="B44" s="53" t="s">
        <v>58</v>
      </c>
      <c r="C44" s="53"/>
      <c r="D44" s="53"/>
      <c r="E44" s="53"/>
      <c r="F44" s="53"/>
      <c r="G44" s="53"/>
    </row>
    <row r="45" spans="2:7" x14ac:dyDescent="0.35">
      <c r="B45" s="2">
        <v>1</v>
      </c>
      <c r="C45" s="49" t="s">
        <v>59</v>
      </c>
      <c r="D45" s="49"/>
      <c r="E45" s="49"/>
      <c r="F45" s="49"/>
      <c r="G45" s="49"/>
    </row>
    <row r="46" spans="2:7" x14ac:dyDescent="0.35">
      <c r="B46" s="2">
        <v>2</v>
      </c>
      <c r="C46" s="49" t="s">
        <v>60</v>
      </c>
      <c r="D46" s="49"/>
      <c r="E46" s="49"/>
      <c r="F46" s="49"/>
      <c r="G46" s="49"/>
    </row>
    <row r="47" spans="2:7" x14ac:dyDescent="0.35">
      <c r="B47" s="2">
        <v>3</v>
      </c>
      <c r="C47" s="49" t="s">
        <v>61</v>
      </c>
      <c r="D47" s="49"/>
      <c r="E47" s="49"/>
      <c r="F47" s="49"/>
      <c r="G47" s="49"/>
    </row>
    <row r="48" spans="2:7" x14ac:dyDescent="0.35">
      <c r="B48" s="2">
        <v>4</v>
      </c>
      <c r="C48" s="49" t="s">
        <v>62</v>
      </c>
      <c r="D48" s="49"/>
      <c r="E48" s="49"/>
      <c r="F48" s="49"/>
      <c r="G48" s="49"/>
    </row>
    <row r="49" spans="2:7" x14ac:dyDescent="0.35">
      <c r="B49" s="2">
        <v>5</v>
      </c>
      <c r="C49" s="49" t="s">
        <v>63</v>
      </c>
      <c r="D49" s="49"/>
      <c r="E49" s="49"/>
      <c r="F49" s="49"/>
      <c r="G49" s="49"/>
    </row>
    <row r="51" spans="2:7" ht="25.5" customHeight="1" x14ac:dyDescent="0.35">
      <c r="B51" s="47" t="s">
        <v>64</v>
      </c>
      <c r="C51" s="47"/>
      <c r="D51" s="47"/>
      <c r="E51" s="47"/>
      <c r="F51" s="47"/>
      <c r="G51" s="47"/>
    </row>
    <row r="52" spans="2:7" ht="19.5" customHeight="1" x14ac:dyDescent="0.35">
      <c r="B52" s="54" t="s">
        <v>65</v>
      </c>
      <c r="C52" s="54"/>
      <c r="D52" s="54"/>
      <c r="E52" s="54"/>
      <c r="F52" s="54"/>
      <c r="G52" s="54"/>
    </row>
    <row r="53" spans="2:7" ht="19.5" customHeight="1" x14ac:dyDescent="0.35">
      <c r="B53" s="55" t="s">
        <v>66</v>
      </c>
      <c r="C53" s="55"/>
      <c r="D53" s="55"/>
      <c r="E53" s="55"/>
      <c r="F53" s="55"/>
      <c r="G53" s="55"/>
    </row>
    <row r="55" spans="2:7" ht="25.5" customHeight="1" x14ac:dyDescent="0.35">
      <c r="B55" s="47" t="s">
        <v>67</v>
      </c>
      <c r="C55" s="47"/>
      <c r="D55" s="47"/>
      <c r="E55" s="47"/>
      <c r="F55" s="47"/>
      <c r="G55" s="47"/>
    </row>
    <row r="56" spans="2:7" x14ac:dyDescent="0.35">
      <c r="B56" s="48" t="s">
        <v>68</v>
      </c>
      <c r="C56" s="48"/>
      <c r="D56" s="48"/>
      <c r="E56" s="49" t="s">
        <v>69</v>
      </c>
      <c r="F56" s="49"/>
      <c r="G56" s="49"/>
    </row>
    <row r="57" spans="2:7" x14ac:dyDescent="0.35">
      <c r="B57" s="50" t="s">
        <v>70</v>
      </c>
      <c r="C57" s="50"/>
      <c r="D57" s="50"/>
      <c r="E57" s="49" t="s">
        <v>71</v>
      </c>
      <c r="F57" s="49"/>
      <c r="G57" s="49"/>
    </row>
    <row r="58" spans="2:7" x14ac:dyDescent="0.35">
      <c r="B58" s="51" t="s">
        <v>72</v>
      </c>
      <c r="C58" s="51"/>
      <c r="D58" s="51"/>
      <c r="E58" s="49" t="s">
        <v>73</v>
      </c>
      <c r="F58" s="49"/>
      <c r="G58" s="49"/>
    </row>
    <row r="59" spans="2:7" x14ac:dyDescent="0.35">
      <c r="B59" s="52" t="s">
        <v>74</v>
      </c>
      <c r="C59" s="52"/>
      <c r="D59" s="52"/>
      <c r="E59" s="49" t="s">
        <v>75</v>
      </c>
      <c r="F59" s="49"/>
      <c r="G59" s="49"/>
    </row>
    <row r="62" spans="2:7" ht="25.5" customHeight="1" x14ac:dyDescent="0.35">
      <c r="B62" s="47" t="s">
        <v>76</v>
      </c>
      <c r="C62" s="47"/>
      <c r="D62" s="47"/>
      <c r="E62" s="47"/>
      <c r="F62" s="47"/>
      <c r="G62" s="47"/>
    </row>
    <row r="63" spans="2:7" ht="19.5" customHeight="1" x14ac:dyDescent="0.35">
      <c r="B63" s="45" t="s">
        <v>77</v>
      </c>
      <c r="C63" s="45"/>
      <c r="D63" s="45"/>
      <c r="E63" s="45"/>
      <c r="F63" s="45"/>
      <c r="G63" s="45"/>
    </row>
    <row r="64" spans="2:7" ht="19.5" customHeight="1" x14ac:dyDescent="0.35">
      <c r="B64" s="46" t="s">
        <v>78</v>
      </c>
      <c r="C64" s="46"/>
      <c r="D64" s="46"/>
      <c r="E64" s="46"/>
      <c r="F64" s="46"/>
      <c r="G64" s="46"/>
    </row>
    <row r="65" spans="2:7" ht="19.5" customHeight="1" x14ac:dyDescent="0.35">
      <c r="B65" s="46" t="s">
        <v>79</v>
      </c>
      <c r="C65" s="46"/>
      <c r="D65" s="46"/>
      <c r="E65" s="46"/>
      <c r="F65" s="46"/>
      <c r="G65" s="46"/>
    </row>
    <row r="66" spans="2:7" ht="19.5" customHeight="1" x14ac:dyDescent="0.35">
      <c r="B66" s="46" t="s">
        <v>80</v>
      </c>
      <c r="C66" s="46"/>
      <c r="D66" s="46"/>
      <c r="E66" s="46"/>
      <c r="F66" s="46"/>
      <c r="G66" s="46"/>
    </row>
    <row r="67" spans="2:7" ht="19.5" customHeight="1" x14ac:dyDescent="0.35">
      <c r="B67" s="46" t="s">
        <v>81</v>
      </c>
      <c r="C67" s="46"/>
      <c r="D67" s="46"/>
      <c r="E67" s="46"/>
      <c r="F67" s="46"/>
      <c r="G67" s="46"/>
    </row>
    <row r="69" spans="2:7" ht="25.5" customHeight="1" x14ac:dyDescent="0.35">
      <c r="B69" s="47" t="s">
        <v>82</v>
      </c>
      <c r="C69" s="47"/>
      <c r="D69" s="47"/>
      <c r="E69" s="47"/>
      <c r="F69" s="47"/>
      <c r="G69" s="47"/>
    </row>
    <row r="70" spans="2:7" ht="19.5" customHeight="1" x14ac:dyDescent="0.35">
      <c r="B70" s="45" t="s">
        <v>83</v>
      </c>
      <c r="C70" s="45"/>
      <c r="D70" s="45"/>
      <c r="E70" s="45"/>
      <c r="F70" s="45"/>
      <c r="G70" s="45"/>
    </row>
    <row r="71" spans="2:7" ht="19.5" customHeight="1" x14ac:dyDescent="0.35">
      <c r="B71" s="45" t="s">
        <v>84</v>
      </c>
      <c r="C71" s="45"/>
      <c r="D71" s="45"/>
      <c r="E71" s="45"/>
      <c r="F71" s="45"/>
      <c r="G71" s="45"/>
    </row>
    <row r="72" spans="2:7" ht="19.5" customHeight="1" x14ac:dyDescent="0.35">
      <c r="B72" s="45" t="s">
        <v>85</v>
      </c>
      <c r="C72" s="45"/>
      <c r="D72" s="45"/>
      <c r="E72" s="45"/>
      <c r="F72" s="45"/>
      <c r="G72" s="45"/>
    </row>
    <row r="73" spans="2:7" ht="19.5" customHeight="1" x14ac:dyDescent="0.35">
      <c r="B73" s="45" t="s">
        <v>86</v>
      </c>
      <c r="C73" s="45"/>
      <c r="D73" s="45"/>
      <c r="E73" s="45"/>
      <c r="F73" s="45"/>
      <c r="G73" s="45"/>
    </row>
    <row r="74" spans="2:7" ht="19.5" customHeight="1" x14ac:dyDescent="0.35">
      <c r="B74" s="45" t="s">
        <v>87</v>
      </c>
      <c r="C74" s="45"/>
      <c r="D74" s="45"/>
      <c r="E74" s="45"/>
      <c r="F74" s="45"/>
      <c r="G74" s="45"/>
    </row>
    <row r="75" spans="2:7" ht="19.5" customHeight="1" x14ac:dyDescent="0.35">
      <c r="B75" s="45" t="s">
        <v>88</v>
      </c>
      <c r="C75" s="45"/>
      <c r="D75" s="45"/>
      <c r="E75" s="45"/>
      <c r="F75" s="45"/>
      <c r="G75" s="45"/>
    </row>
    <row r="76" spans="2:7" ht="19.5" customHeight="1" x14ac:dyDescent="0.35">
      <c r="B76" s="45"/>
      <c r="C76" s="45"/>
      <c r="D76" s="45"/>
      <c r="E76" s="45"/>
      <c r="F76" s="45"/>
      <c r="G76" s="45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8"/>
  <sheetViews>
    <sheetView showGridLines="0" tabSelected="1" zoomScale="99" zoomScaleNormal="99" workbookViewId="0">
      <pane xSplit="4" ySplit="2" topLeftCell="W61" activePane="bottomRight" state="frozen"/>
      <selection pane="topRight" activeCell="E1" sqref="E1"/>
      <selection pane="bottomLeft" activeCell="A4" sqref="A4"/>
      <selection pane="bottomRight" activeCell="S3" sqref="S3:AA68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  <col min="19" max="26" width="13.26953125" customWidth="1"/>
    <col min="27" max="27" width="21.08984375" customWidth="1"/>
  </cols>
  <sheetData>
    <row r="1" spans="1:27" ht="31.5" customHeight="1" x14ac:dyDescent="0.3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5"/>
    </row>
    <row r="2" spans="1:27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  <c r="S2" s="6" t="s">
        <v>290</v>
      </c>
      <c r="T2" s="6" t="s">
        <v>291</v>
      </c>
      <c r="U2" s="6" t="s">
        <v>292</v>
      </c>
      <c r="V2" s="6" t="s">
        <v>293</v>
      </c>
      <c r="W2" s="6" t="s">
        <v>294</v>
      </c>
      <c r="X2" s="6" t="s">
        <v>295</v>
      </c>
      <c r="Y2" s="6" t="s">
        <v>296</v>
      </c>
      <c r="Z2" s="6" t="s">
        <v>297</v>
      </c>
      <c r="AA2" s="6" t="s">
        <v>298</v>
      </c>
    </row>
    <row r="3" spans="1:27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  <c r="S3" s="14">
        <v>3.5</v>
      </c>
      <c r="T3" s="14">
        <v>3</v>
      </c>
      <c r="U3" s="14">
        <v>2.5</v>
      </c>
      <c r="V3" s="14">
        <v>3</v>
      </c>
      <c r="W3" s="14">
        <v>3.5</v>
      </c>
      <c r="X3" s="14">
        <v>3.5</v>
      </c>
      <c r="Y3" s="14">
        <v>3</v>
      </c>
      <c r="Z3" s="14">
        <v>3</v>
      </c>
      <c r="AA3" s="14">
        <v>3.5</v>
      </c>
    </row>
    <row r="4" spans="1:27" s="14" customFormat="1" ht="21.75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  <c r="S4" s="14">
        <v>4</v>
      </c>
      <c r="T4" s="14">
        <v>3</v>
      </c>
      <c r="U4" s="14">
        <v>3.5</v>
      </c>
      <c r="V4" s="14">
        <v>3.5</v>
      </c>
      <c r="W4" s="14">
        <v>3.5</v>
      </c>
      <c r="X4" s="14">
        <v>3.5</v>
      </c>
      <c r="Y4" s="14">
        <v>3.5</v>
      </c>
      <c r="Z4" s="14">
        <v>3</v>
      </c>
      <c r="AA4" s="14">
        <v>3.5</v>
      </c>
    </row>
    <row r="5" spans="1:27" s="14" customFormat="1" ht="21.75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  <c r="S5" s="14">
        <v>4</v>
      </c>
      <c r="T5" s="14">
        <v>3</v>
      </c>
      <c r="U5" s="14">
        <v>3</v>
      </c>
      <c r="V5" s="14">
        <v>3.5</v>
      </c>
      <c r="W5" s="14">
        <v>3.5</v>
      </c>
      <c r="X5" s="14">
        <v>3.5</v>
      </c>
      <c r="Y5" s="14">
        <v>4</v>
      </c>
      <c r="Z5" s="14">
        <v>3</v>
      </c>
      <c r="AA5" s="14">
        <v>3.5</v>
      </c>
    </row>
    <row r="6" spans="1:27" s="14" customFormat="1" ht="21.75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  <c r="S6" s="14">
        <v>4.5</v>
      </c>
      <c r="T6" s="14">
        <v>3</v>
      </c>
      <c r="U6" s="14">
        <v>4</v>
      </c>
      <c r="V6" s="14">
        <v>3.5</v>
      </c>
      <c r="W6" s="14">
        <v>3.5</v>
      </c>
      <c r="X6" s="14">
        <v>3.5</v>
      </c>
      <c r="Y6" s="14">
        <v>3.5</v>
      </c>
      <c r="Z6" s="14">
        <v>3</v>
      </c>
      <c r="AA6" s="14">
        <v>3.5</v>
      </c>
    </row>
    <row r="7" spans="1:27" s="14" customFormat="1" ht="21.75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  <c r="S7" s="14">
        <v>3.5</v>
      </c>
      <c r="T7" s="14">
        <v>3</v>
      </c>
      <c r="U7" s="14">
        <v>2.5</v>
      </c>
      <c r="V7" s="14">
        <v>3</v>
      </c>
      <c r="W7" s="14">
        <v>3.5</v>
      </c>
      <c r="X7" s="14">
        <v>3.5</v>
      </c>
      <c r="Y7" s="14">
        <v>3.5</v>
      </c>
      <c r="Z7" s="14">
        <v>3.5</v>
      </c>
      <c r="AA7" s="14">
        <v>3</v>
      </c>
    </row>
    <row r="8" spans="1:27" s="14" customFormat="1" ht="21.75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  <c r="S8" s="14">
        <v>4.5</v>
      </c>
      <c r="T8" s="14">
        <v>3</v>
      </c>
      <c r="U8" s="14">
        <v>4</v>
      </c>
      <c r="V8" s="14">
        <v>3.5</v>
      </c>
      <c r="W8" s="14">
        <v>3.5</v>
      </c>
      <c r="X8" s="14">
        <v>3.5</v>
      </c>
      <c r="Y8" s="14">
        <v>3</v>
      </c>
      <c r="Z8" s="14">
        <v>3</v>
      </c>
      <c r="AA8" s="14">
        <v>4</v>
      </c>
    </row>
    <row r="9" spans="1:27" s="14" customFormat="1" ht="21.75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  <c r="S9" s="14" t="s">
        <v>299</v>
      </c>
      <c r="T9" s="14" t="s">
        <v>299</v>
      </c>
      <c r="U9" s="14" t="s">
        <v>299</v>
      </c>
      <c r="V9" s="14" t="s">
        <v>299</v>
      </c>
      <c r="W9" s="14" t="s">
        <v>299</v>
      </c>
      <c r="X9" s="14" t="s">
        <v>299</v>
      </c>
      <c r="Y9" s="14" t="s">
        <v>299</v>
      </c>
      <c r="Z9" s="14" t="s">
        <v>299</v>
      </c>
      <c r="AA9" s="14" t="s">
        <v>299</v>
      </c>
    </row>
    <row r="10" spans="1:27" s="14" customFormat="1" ht="21.75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  <c r="S10" s="14">
        <v>3.5</v>
      </c>
      <c r="T10" s="14">
        <v>3.5</v>
      </c>
      <c r="U10" s="14">
        <v>3</v>
      </c>
      <c r="V10" s="14">
        <v>3</v>
      </c>
      <c r="W10" s="14">
        <v>3</v>
      </c>
      <c r="X10" s="14">
        <v>3.5</v>
      </c>
      <c r="Y10" s="14">
        <v>3</v>
      </c>
      <c r="Z10" s="14">
        <v>3.5</v>
      </c>
      <c r="AA10" s="14">
        <v>3.5</v>
      </c>
    </row>
    <row r="11" spans="1:27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288</v>
      </c>
      <c r="Q11" s="28"/>
      <c r="R11" s="27" t="s">
        <v>117</v>
      </c>
      <c r="S11" s="14">
        <v>3</v>
      </c>
      <c r="T11" s="14">
        <v>2.5</v>
      </c>
      <c r="U11" s="14">
        <v>2.5</v>
      </c>
      <c r="V11" s="14">
        <v>3</v>
      </c>
      <c r="W11" s="14">
        <v>3</v>
      </c>
      <c r="X11" s="14">
        <v>3</v>
      </c>
      <c r="Y11" s="14">
        <v>3</v>
      </c>
      <c r="Z11" s="14">
        <v>3</v>
      </c>
      <c r="AA11" s="14">
        <v>3</v>
      </c>
    </row>
    <row r="12" spans="1:27" s="14" customFormat="1" ht="21.75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  <c r="S12" s="14">
        <v>3</v>
      </c>
      <c r="T12" s="14">
        <v>3</v>
      </c>
      <c r="U12" s="14">
        <v>3</v>
      </c>
      <c r="V12" s="14">
        <v>2.5</v>
      </c>
      <c r="W12" s="14">
        <v>3</v>
      </c>
      <c r="X12" s="14">
        <v>3</v>
      </c>
      <c r="Y12" s="14">
        <v>3</v>
      </c>
      <c r="Z12" s="14">
        <v>3</v>
      </c>
      <c r="AA12" s="14">
        <v>2.5</v>
      </c>
    </row>
    <row r="13" spans="1:27" s="26" customFormat="1" ht="21.75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  <c r="S13" s="14" t="s">
        <v>299</v>
      </c>
      <c r="T13" s="14" t="s">
        <v>299</v>
      </c>
      <c r="U13" s="14" t="s">
        <v>299</v>
      </c>
      <c r="V13" s="14" t="s">
        <v>299</v>
      </c>
      <c r="W13" s="14" t="s">
        <v>299</v>
      </c>
      <c r="X13" s="14" t="s">
        <v>299</v>
      </c>
      <c r="Y13" s="14" t="s">
        <v>299</v>
      </c>
      <c r="Z13" s="14" t="s">
        <v>299</v>
      </c>
      <c r="AA13" s="14" t="s">
        <v>299</v>
      </c>
    </row>
    <row r="14" spans="1:27" s="26" customFormat="1" ht="21.75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  <c r="S14" s="14">
        <v>4</v>
      </c>
      <c r="T14" s="14">
        <v>3.5</v>
      </c>
      <c r="U14" s="14">
        <v>3.5</v>
      </c>
      <c r="V14" s="14">
        <v>3.5</v>
      </c>
      <c r="W14" s="14">
        <v>3.5</v>
      </c>
      <c r="X14" s="14">
        <v>4</v>
      </c>
      <c r="Y14" s="14">
        <v>3.5</v>
      </c>
      <c r="Z14" s="14">
        <v>4</v>
      </c>
      <c r="AA14" s="14">
        <v>4</v>
      </c>
    </row>
    <row r="15" spans="1:27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/>
      <c r="O15" s="33"/>
      <c r="P15" s="33" t="s">
        <v>258</v>
      </c>
      <c r="Q15" s="33" t="s">
        <v>286</v>
      </c>
      <c r="R15" s="32" t="s">
        <v>122</v>
      </c>
      <c r="S15" s="14">
        <v>4</v>
      </c>
      <c r="T15" s="14">
        <v>4</v>
      </c>
      <c r="U15" s="14">
        <v>3.5</v>
      </c>
      <c r="V15" s="14">
        <v>4</v>
      </c>
      <c r="W15" s="14">
        <v>3.5</v>
      </c>
      <c r="X15" s="14">
        <v>3.5</v>
      </c>
      <c r="Y15" s="14">
        <v>4</v>
      </c>
      <c r="Z15" s="14">
        <v>4</v>
      </c>
      <c r="AA15" s="14">
        <v>3.5</v>
      </c>
    </row>
    <row r="16" spans="1:27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0"/>
      <c r="O16" s="40"/>
      <c r="P16" s="40" t="s">
        <v>259</v>
      </c>
      <c r="Q16" s="40" t="s">
        <v>286</v>
      </c>
      <c r="R16" s="39" t="s">
        <v>122</v>
      </c>
      <c r="S16" s="14">
        <v>3</v>
      </c>
      <c r="T16" s="14">
        <v>3</v>
      </c>
      <c r="U16" s="14">
        <v>3</v>
      </c>
      <c r="V16" s="14">
        <v>3</v>
      </c>
      <c r="W16" s="14">
        <v>3</v>
      </c>
      <c r="X16" s="14">
        <v>3</v>
      </c>
      <c r="Y16" s="14">
        <v>3</v>
      </c>
      <c r="Z16" s="14">
        <v>3</v>
      </c>
      <c r="AA16" s="14">
        <v>3.5</v>
      </c>
    </row>
    <row r="17" spans="1:27" s="14" customFormat="1" ht="21.75" customHeight="1" x14ac:dyDescent="0.35">
      <c r="A17" s="7">
        <v>242032</v>
      </c>
      <c r="B17" s="9" t="s">
        <v>127</v>
      </c>
      <c r="C17" s="9" t="s">
        <v>250</v>
      </c>
      <c r="D17" s="9" t="s">
        <v>90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 t="s">
        <v>286</v>
      </c>
      <c r="R17" s="7" t="s">
        <v>122</v>
      </c>
      <c r="S17" s="14">
        <v>4</v>
      </c>
      <c r="T17" s="14">
        <v>3.5</v>
      </c>
      <c r="U17" s="14">
        <v>3</v>
      </c>
      <c r="V17" s="14">
        <v>4</v>
      </c>
      <c r="W17" s="14">
        <v>3.5</v>
      </c>
      <c r="X17" s="14">
        <v>3</v>
      </c>
      <c r="Y17" s="14">
        <v>3</v>
      </c>
      <c r="Z17" s="14">
        <v>4</v>
      </c>
      <c r="AA17" s="14">
        <v>4</v>
      </c>
    </row>
    <row r="18" spans="1:27" s="14" customFormat="1" ht="21.75" customHeight="1" x14ac:dyDescent="0.35">
      <c r="A18" s="8">
        <v>149024</v>
      </c>
      <c r="B18" s="15" t="s">
        <v>128</v>
      </c>
      <c r="C18" s="15" t="s">
        <v>129</v>
      </c>
      <c r="D18" s="15" t="s">
        <v>90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 t="s">
        <v>286</v>
      </c>
      <c r="R18" s="8" t="s">
        <v>122</v>
      </c>
      <c r="S18" s="14">
        <v>4</v>
      </c>
      <c r="T18" s="14">
        <v>3</v>
      </c>
      <c r="U18" s="14">
        <v>3</v>
      </c>
      <c r="V18" s="14">
        <v>3.5</v>
      </c>
      <c r="W18" s="14">
        <v>3.5</v>
      </c>
      <c r="X18" s="14">
        <v>4</v>
      </c>
      <c r="Y18" s="14">
        <v>4</v>
      </c>
      <c r="Z18" s="14">
        <v>4</v>
      </c>
      <c r="AA18" s="14">
        <v>4</v>
      </c>
    </row>
    <row r="19" spans="1:27" s="14" customFormat="1" ht="21.75" customHeight="1" x14ac:dyDescent="0.35">
      <c r="A19" s="7">
        <v>232027</v>
      </c>
      <c r="B19" s="9" t="s">
        <v>130</v>
      </c>
      <c r="C19" s="9" t="s">
        <v>131</v>
      </c>
      <c r="D19" s="9" t="s">
        <v>90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 t="s">
        <v>286</v>
      </c>
      <c r="R19" s="7" t="s">
        <v>122</v>
      </c>
      <c r="S19" s="14" t="s">
        <v>299</v>
      </c>
      <c r="T19" s="14" t="s">
        <v>299</v>
      </c>
      <c r="U19" s="14" t="s">
        <v>299</v>
      </c>
      <c r="V19" s="14" t="s">
        <v>299</v>
      </c>
      <c r="W19" s="14" t="s">
        <v>299</v>
      </c>
      <c r="X19" s="14" t="s">
        <v>299</v>
      </c>
      <c r="Y19" s="14" t="s">
        <v>299</v>
      </c>
      <c r="Z19" s="14" t="s">
        <v>299</v>
      </c>
      <c r="AA19" s="14" t="s">
        <v>299</v>
      </c>
    </row>
    <row r="20" spans="1:27" s="14" customFormat="1" ht="21.75" customHeight="1" x14ac:dyDescent="0.35">
      <c r="A20" s="8">
        <v>256029</v>
      </c>
      <c r="B20" s="15" t="s">
        <v>132</v>
      </c>
      <c r="C20" s="15" t="s">
        <v>133</v>
      </c>
      <c r="D20" s="15" t="s">
        <v>90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 t="s">
        <v>286</v>
      </c>
      <c r="R20" s="8" t="s">
        <v>122</v>
      </c>
      <c r="S20" s="14">
        <v>2.5</v>
      </c>
      <c r="T20" s="14">
        <v>2.5</v>
      </c>
      <c r="U20" s="14">
        <v>2.5</v>
      </c>
      <c r="V20" s="14">
        <v>2.5</v>
      </c>
      <c r="W20" s="14">
        <v>3</v>
      </c>
      <c r="X20" s="14">
        <v>3</v>
      </c>
      <c r="Y20" s="14">
        <v>3</v>
      </c>
      <c r="Z20" s="14">
        <v>2.5</v>
      </c>
      <c r="AA20" s="14">
        <v>3</v>
      </c>
    </row>
    <row r="21" spans="1:27" s="14" customFormat="1" ht="21.75" customHeight="1" x14ac:dyDescent="0.35">
      <c r="A21" s="7">
        <v>236012</v>
      </c>
      <c r="B21" s="9" t="s">
        <v>134</v>
      </c>
      <c r="C21" s="9" t="s">
        <v>135</v>
      </c>
      <c r="D21" s="9" t="s">
        <v>90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 t="s">
        <v>286</v>
      </c>
      <c r="R21" s="7" t="s">
        <v>122</v>
      </c>
      <c r="S21" s="14">
        <v>2.5</v>
      </c>
      <c r="T21" s="14">
        <v>2.5</v>
      </c>
      <c r="U21" s="14">
        <v>2.5</v>
      </c>
      <c r="V21" s="14">
        <v>3</v>
      </c>
      <c r="W21" s="14">
        <v>3</v>
      </c>
      <c r="X21" s="14">
        <v>3</v>
      </c>
      <c r="Y21" s="14">
        <v>2.5</v>
      </c>
      <c r="Z21" s="14">
        <v>3</v>
      </c>
      <c r="AA21" s="14">
        <v>3</v>
      </c>
    </row>
    <row r="22" spans="1:27" s="38" customFormat="1" ht="21.75" customHeight="1" x14ac:dyDescent="0.35">
      <c r="A22" s="39">
        <v>250042</v>
      </c>
      <c r="B22" s="40" t="s">
        <v>136</v>
      </c>
      <c r="C22" s="40" t="s">
        <v>137</v>
      </c>
      <c r="D22" s="40" t="s">
        <v>90</v>
      </c>
      <c r="E22" s="41">
        <v>26738</v>
      </c>
      <c r="F22" s="42">
        <f t="shared" ca="1" si="3"/>
        <v>53</v>
      </c>
      <c r="G22" s="42">
        <f t="shared" ca="1" si="0"/>
        <v>2</v>
      </c>
      <c r="H22" s="36">
        <v>4</v>
      </c>
      <c r="I22" s="36">
        <v>1</v>
      </c>
      <c r="J22" s="36">
        <v>4</v>
      </c>
      <c r="K22" s="36">
        <v>4</v>
      </c>
      <c r="L22" s="43">
        <f t="shared" ca="1" si="1"/>
        <v>2.7</v>
      </c>
      <c r="M22" s="43" t="str">
        <f t="shared" ca="1" si="2"/>
        <v>High Impact + Low Risk</v>
      </c>
      <c r="N22" s="40"/>
      <c r="O22" s="40"/>
      <c r="P22" s="40" t="s">
        <v>260</v>
      </c>
      <c r="Q22" s="40" t="s">
        <v>286</v>
      </c>
      <c r="R22" s="39" t="s">
        <v>122</v>
      </c>
      <c r="S22" s="14">
        <v>3</v>
      </c>
      <c r="T22" s="14">
        <v>2.5</v>
      </c>
      <c r="U22" s="14">
        <v>2.5</v>
      </c>
      <c r="V22" s="14">
        <v>3.5</v>
      </c>
      <c r="W22" s="14">
        <v>2.5</v>
      </c>
      <c r="X22" s="14">
        <v>3</v>
      </c>
      <c r="Y22" s="14">
        <v>3</v>
      </c>
      <c r="Z22" s="14">
        <v>3</v>
      </c>
      <c r="AA22" s="14">
        <v>2.5</v>
      </c>
    </row>
    <row r="23" spans="1:27" s="14" customFormat="1" ht="21.75" customHeight="1" x14ac:dyDescent="0.35">
      <c r="A23" s="7">
        <v>233034</v>
      </c>
      <c r="B23" s="9" t="s">
        <v>138</v>
      </c>
      <c r="C23" s="9" t="s">
        <v>139</v>
      </c>
      <c r="D23" s="9" t="s">
        <v>90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 t="s">
        <v>286</v>
      </c>
      <c r="R23" s="7" t="s">
        <v>122</v>
      </c>
      <c r="S23" s="14">
        <v>3.5</v>
      </c>
      <c r="T23" s="14">
        <v>3</v>
      </c>
      <c r="U23" s="14">
        <v>3</v>
      </c>
      <c r="V23" s="14">
        <v>3.5</v>
      </c>
      <c r="W23" s="14">
        <v>3.5</v>
      </c>
      <c r="X23" s="14">
        <v>3</v>
      </c>
      <c r="Y23" s="14">
        <v>3</v>
      </c>
      <c r="Z23" s="14">
        <v>3.5</v>
      </c>
      <c r="AA23" s="14">
        <v>3</v>
      </c>
    </row>
    <row r="24" spans="1:27" s="14" customFormat="1" ht="21.75" customHeight="1" x14ac:dyDescent="0.35">
      <c r="A24" s="8">
        <v>268013</v>
      </c>
      <c r="B24" s="15" t="s">
        <v>140</v>
      </c>
      <c r="C24" s="15" t="s">
        <v>251</v>
      </c>
      <c r="D24" s="15" t="s">
        <v>90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 t="s">
        <v>286</v>
      </c>
      <c r="R24" s="8" t="s">
        <v>122</v>
      </c>
      <c r="S24" s="14">
        <v>3</v>
      </c>
      <c r="T24" s="14">
        <v>3.5</v>
      </c>
      <c r="U24" s="14">
        <v>3.5</v>
      </c>
      <c r="V24" s="14">
        <v>3</v>
      </c>
      <c r="W24" s="14">
        <v>3.5</v>
      </c>
      <c r="X24" s="14">
        <v>3.5</v>
      </c>
      <c r="Y24" s="14">
        <v>2.5</v>
      </c>
      <c r="Z24" s="14">
        <v>3</v>
      </c>
      <c r="AA24" s="14">
        <v>3</v>
      </c>
    </row>
    <row r="25" spans="1:27" s="14" customFormat="1" ht="21.75" customHeight="1" x14ac:dyDescent="0.35">
      <c r="A25" s="7">
        <v>249010</v>
      </c>
      <c r="B25" s="9" t="s">
        <v>141</v>
      </c>
      <c r="C25" s="9" t="s">
        <v>142</v>
      </c>
      <c r="D25" s="9" t="s">
        <v>90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 t="s">
        <v>286</v>
      </c>
      <c r="R25" s="7" t="s">
        <v>122</v>
      </c>
      <c r="S25" s="14">
        <v>3</v>
      </c>
      <c r="T25" s="14">
        <v>3</v>
      </c>
      <c r="U25" s="14">
        <v>2.5</v>
      </c>
      <c r="V25" s="14">
        <v>3</v>
      </c>
      <c r="W25" s="14">
        <v>3</v>
      </c>
      <c r="X25" s="14">
        <v>3.5</v>
      </c>
      <c r="Y25" s="14">
        <v>2.5</v>
      </c>
      <c r="Z25" s="14">
        <v>3</v>
      </c>
      <c r="AA25" s="14">
        <v>2.5</v>
      </c>
    </row>
    <row r="26" spans="1:27" s="14" customFormat="1" ht="21.75" customHeight="1" x14ac:dyDescent="0.35">
      <c r="A26" s="8">
        <v>268012</v>
      </c>
      <c r="B26" s="15" t="s">
        <v>143</v>
      </c>
      <c r="C26" s="15" t="s">
        <v>144</v>
      </c>
      <c r="D26" s="15" t="s">
        <v>90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 t="s">
        <v>286</v>
      </c>
      <c r="R26" s="8" t="s">
        <v>122</v>
      </c>
      <c r="S26" s="14">
        <v>3.5</v>
      </c>
      <c r="T26" s="14">
        <v>3.5</v>
      </c>
      <c r="U26" s="14">
        <v>3.5</v>
      </c>
      <c r="V26" s="14">
        <v>3</v>
      </c>
      <c r="W26" s="14">
        <v>3.5</v>
      </c>
      <c r="X26" s="14">
        <v>3.5</v>
      </c>
      <c r="Y26" s="14">
        <v>3</v>
      </c>
      <c r="Z26" s="14">
        <v>3</v>
      </c>
      <c r="AA26" s="14">
        <v>3.5</v>
      </c>
    </row>
    <row r="27" spans="1:27" s="14" customFormat="1" ht="21.75" customHeight="1" x14ac:dyDescent="0.35">
      <c r="A27" s="7">
        <v>238030</v>
      </c>
      <c r="B27" s="9" t="s">
        <v>145</v>
      </c>
      <c r="C27" s="9" t="s">
        <v>146</v>
      </c>
      <c r="D27" s="9" t="s">
        <v>90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 t="s">
        <v>286</v>
      </c>
      <c r="R27" s="7" t="s">
        <v>122</v>
      </c>
      <c r="S27" s="14">
        <v>2.5</v>
      </c>
      <c r="T27" s="14">
        <v>2.5</v>
      </c>
      <c r="U27" s="14">
        <v>3</v>
      </c>
      <c r="V27" s="14">
        <v>3</v>
      </c>
      <c r="W27" s="14">
        <v>3</v>
      </c>
      <c r="X27" s="14">
        <v>3</v>
      </c>
      <c r="Y27" s="14">
        <v>3</v>
      </c>
      <c r="Z27" s="14">
        <v>3</v>
      </c>
      <c r="AA27" s="14">
        <v>2.5</v>
      </c>
    </row>
    <row r="28" spans="1:27" s="38" customFormat="1" ht="21.75" customHeight="1" x14ac:dyDescent="0.35">
      <c r="A28" s="39">
        <v>256014</v>
      </c>
      <c r="B28" s="40" t="s">
        <v>147</v>
      </c>
      <c r="C28" s="40" t="s">
        <v>148</v>
      </c>
      <c r="D28" s="40" t="s">
        <v>90</v>
      </c>
      <c r="E28" s="41">
        <v>32349</v>
      </c>
      <c r="F28" s="42">
        <f t="shared" ca="1" si="3"/>
        <v>38</v>
      </c>
      <c r="G28" s="42">
        <f t="shared" ca="1" si="0"/>
        <v>1</v>
      </c>
      <c r="H28" s="36">
        <v>4</v>
      </c>
      <c r="I28" s="36">
        <v>1</v>
      </c>
      <c r="J28" s="36">
        <v>4</v>
      </c>
      <c r="K28" s="36">
        <v>4</v>
      </c>
      <c r="L28" s="43">
        <f t="shared" ca="1" si="1"/>
        <v>2.5</v>
      </c>
      <c r="M28" s="43" t="str">
        <f t="shared" ca="1" si="2"/>
        <v>High Impact + Low Risk</v>
      </c>
      <c r="N28" s="40"/>
      <c r="O28" s="40"/>
      <c r="P28" s="40" t="s">
        <v>261</v>
      </c>
      <c r="Q28" s="40" t="s">
        <v>286</v>
      </c>
      <c r="R28" s="39" t="s">
        <v>122</v>
      </c>
      <c r="S28" s="14">
        <v>3</v>
      </c>
      <c r="T28" s="14">
        <v>2.5</v>
      </c>
      <c r="U28" s="14">
        <v>3</v>
      </c>
      <c r="V28" s="14">
        <v>3</v>
      </c>
      <c r="W28" s="14">
        <v>3</v>
      </c>
      <c r="X28" s="14">
        <v>3</v>
      </c>
      <c r="Y28" s="14">
        <v>3.5</v>
      </c>
      <c r="Z28" s="14">
        <v>3</v>
      </c>
      <c r="AA28" s="14">
        <v>3.5</v>
      </c>
    </row>
    <row r="29" spans="1:27" s="38" customFormat="1" ht="21.75" customHeight="1" x14ac:dyDescent="0.35">
      <c r="A29" s="32">
        <v>443003</v>
      </c>
      <c r="B29" s="33" t="s">
        <v>149</v>
      </c>
      <c r="C29" s="33" t="s">
        <v>150</v>
      </c>
      <c r="D29" s="33" t="s">
        <v>90</v>
      </c>
      <c r="E29" s="34">
        <v>28572</v>
      </c>
      <c r="F29" s="35">
        <f t="shared" ca="1" si="3"/>
        <v>48</v>
      </c>
      <c r="G29" s="35">
        <f t="shared" ca="1" si="0"/>
        <v>1</v>
      </c>
      <c r="H29" s="36">
        <v>4</v>
      </c>
      <c r="I29" s="36">
        <v>1</v>
      </c>
      <c r="J29" s="36">
        <v>4</v>
      </c>
      <c r="K29" s="36">
        <v>5</v>
      </c>
      <c r="L29" s="37">
        <f t="shared" ca="1" si="1"/>
        <v>2.7</v>
      </c>
      <c r="M29" s="37" t="str">
        <f t="shared" ca="1" si="2"/>
        <v>High Impact + Low Risk</v>
      </c>
      <c r="N29" s="33"/>
      <c r="O29" s="33"/>
      <c r="P29" s="33" t="s">
        <v>262</v>
      </c>
      <c r="Q29" s="33" t="s">
        <v>286</v>
      </c>
      <c r="R29" s="32" t="s">
        <v>122</v>
      </c>
      <c r="S29" s="14" t="s">
        <v>299</v>
      </c>
      <c r="T29" s="14" t="s">
        <v>299</v>
      </c>
      <c r="U29" s="14" t="s">
        <v>299</v>
      </c>
      <c r="V29" s="14" t="s">
        <v>299</v>
      </c>
      <c r="W29" s="14" t="s">
        <v>299</v>
      </c>
      <c r="X29" s="14" t="s">
        <v>299</v>
      </c>
      <c r="Y29" s="14" t="s">
        <v>299</v>
      </c>
      <c r="Z29" s="14" t="s">
        <v>299</v>
      </c>
      <c r="AA29" s="14" t="s">
        <v>299</v>
      </c>
    </row>
    <row r="30" spans="1:27" s="38" customFormat="1" ht="21.75" customHeight="1" x14ac:dyDescent="0.35">
      <c r="A30" s="39">
        <v>254057</v>
      </c>
      <c r="B30" s="40" t="s">
        <v>151</v>
      </c>
      <c r="C30" s="40" t="s">
        <v>152</v>
      </c>
      <c r="D30" s="40" t="s">
        <v>90</v>
      </c>
      <c r="E30" s="41">
        <v>32420</v>
      </c>
      <c r="F30" s="42">
        <f t="shared" ca="1" si="3"/>
        <v>38</v>
      </c>
      <c r="G30" s="42">
        <f t="shared" ca="1" si="0"/>
        <v>1</v>
      </c>
      <c r="H30" s="36">
        <v>4</v>
      </c>
      <c r="I30" s="36">
        <v>1</v>
      </c>
      <c r="J30" s="36">
        <v>4</v>
      </c>
      <c r="K30" s="36">
        <v>4</v>
      </c>
      <c r="L30" s="43">
        <f t="shared" ca="1" si="1"/>
        <v>2.5</v>
      </c>
      <c r="M30" s="43" t="str">
        <f t="shared" ca="1" si="2"/>
        <v>High Impact + Low Risk</v>
      </c>
      <c r="N30" s="40"/>
      <c r="O30" s="40"/>
      <c r="P30" s="40" t="s">
        <v>263</v>
      </c>
      <c r="Q30" s="40" t="s">
        <v>286</v>
      </c>
      <c r="R30" s="39" t="s">
        <v>122</v>
      </c>
      <c r="S30" s="14">
        <v>3</v>
      </c>
      <c r="T30" s="14">
        <v>3</v>
      </c>
      <c r="U30" s="14">
        <v>3</v>
      </c>
      <c r="V30" s="14">
        <v>3</v>
      </c>
      <c r="W30" s="14">
        <v>3</v>
      </c>
      <c r="X30" s="14">
        <v>3</v>
      </c>
      <c r="Y30" s="14">
        <v>3</v>
      </c>
      <c r="Z30" s="14">
        <v>3.5</v>
      </c>
      <c r="AA30" s="14">
        <v>3</v>
      </c>
    </row>
    <row r="31" spans="1:27" s="38" customFormat="1" ht="21.75" customHeight="1" x14ac:dyDescent="0.35">
      <c r="A31" s="32">
        <v>237011</v>
      </c>
      <c r="B31" s="33" t="s">
        <v>153</v>
      </c>
      <c r="C31" s="33" t="s">
        <v>150</v>
      </c>
      <c r="D31" s="33" t="s">
        <v>90</v>
      </c>
      <c r="E31" s="34">
        <v>25410</v>
      </c>
      <c r="F31" s="35">
        <f t="shared" ca="1" si="3"/>
        <v>57</v>
      </c>
      <c r="G31" s="35">
        <f t="shared" ca="1" si="0"/>
        <v>3</v>
      </c>
      <c r="H31" s="36">
        <v>4</v>
      </c>
      <c r="I31" s="36">
        <v>1</v>
      </c>
      <c r="J31" s="36">
        <v>4</v>
      </c>
      <c r="K31" s="36">
        <v>5</v>
      </c>
      <c r="L31" s="37">
        <f t="shared" ca="1" si="1"/>
        <v>3.1</v>
      </c>
      <c r="M31" s="37" t="str">
        <f t="shared" ca="1" si="2"/>
        <v>High Impact + Low Risk</v>
      </c>
      <c r="N31" s="33"/>
      <c r="O31" s="33"/>
      <c r="P31" s="33" t="s">
        <v>262</v>
      </c>
      <c r="Q31" s="33" t="s">
        <v>286</v>
      </c>
      <c r="R31" s="32" t="s">
        <v>122</v>
      </c>
      <c r="S31" s="14" t="s">
        <v>299</v>
      </c>
      <c r="T31" s="14" t="s">
        <v>299</v>
      </c>
      <c r="U31" s="14" t="s">
        <v>299</v>
      </c>
      <c r="V31" s="14" t="s">
        <v>299</v>
      </c>
      <c r="W31" s="14" t="s">
        <v>299</v>
      </c>
      <c r="X31" s="14" t="s">
        <v>299</v>
      </c>
      <c r="Y31" s="14" t="s">
        <v>299</v>
      </c>
      <c r="Z31" s="14" t="s">
        <v>299</v>
      </c>
      <c r="AA31" s="14" t="s">
        <v>299</v>
      </c>
    </row>
    <row r="32" spans="1:27" s="38" customFormat="1" ht="21.75" customHeight="1" x14ac:dyDescent="0.35">
      <c r="A32" s="39">
        <v>267096</v>
      </c>
      <c r="B32" s="40" t="s">
        <v>154</v>
      </c>
      <c r="C32" s="40" t="s">
        <v>155</v>
      </c>
      <c r="D32" s="40" t="s">
        <v>90</v>
      </c>
      <c r="E32" s="41">
        <v>32140</v>
      </c>
      <c r="F32" s="42">
        <f t="shared" ca="1" si="3"/>
        <v>38</v>
      </c>
      <c r="G32" s="42">
        <f t="shared" ca="1" si="0"/>
        <v>1</v>
      </c>
      <c r="H32" s="36">
        <v>4</v>
      </c>
      <c r="I32" s="36">
        <v>3</v>
      </c>
      <c r="J32" s="36">
        <v>4</v>
      </c>
      <c r="K32" s="36">
        <v>4</v>
      </c>
      <c r="L32" s="43">
        <f t="shared" ca="1" si="1"/>
        <v>3.1</v>
      </c>
      <c r="M32" s="43" t="str">
        <f t="shared" ca="1" si="2"/>
        <v>High Impact + Low Risk</v>
      </c>
      <c r="N32" s="40"/>
      <c r="O32" s="40"/>
      <c r="P32" s="40" t="s">
        <v>264</v>
      </c>
      <c r="Q32" s="40" t="s">
        <v>286</v>
      </c>
      <c r="R32" s="39" t="s">
        <v>122</v>
      </c>
      <c r="S32" s="14">
        <v>3</v>
      </c>
      <c r="T32" s="14">
        <v>3</v>
      </c>
      <c r="U32" s="14">
        <v>3</v>
      </c>
      <c r="V32" s="14">
        <v>3</v>
      </c>
      <c r="W32" s="14">
        <v>3.5</v>
      </c>
      <c r="X32" s="14">
        <v>3</v>
      </c>
      <c r="Y32" s="14">
        <v>3</v>
      </c>
      <c r="Z32" s="14">
        <v>3</v>
      </c>
      <c r="AA32" s="14">
        <v>3.5</v>
      </c>
    </row>
    <row r="33" spans="1:27" s="38" customFormat="1" ht="21.75" customHeight="1" x14ac:dyDescent="0.35">
      <c r="A33" s="32">
        <v>249048</v>
      </c>
      <c r="B33" s="33" t="s">
        <v>156</v>
      </c>
      <c r="C33" s="33" t="s">
        <v>150</v>
      </c>
      <c r="D33" s="33" t="s">
        <v>90</v>
      </c>
      <c r="E33" s="34">
        <v>29299</v>
      </c>
      <c r="F33" s="35">
        <f t="shared" ca="1" si="3"/>
        <v>46</v>
      </c>
      <c r="G33" s="35">
        <f t="shared" ca="1" si="0"/>
        <v>1</v>
      </c>
      <c r="H33" s="36">
        <v>4</v>
      </c>
      <c r="I33" s="36">
        <v>1</v>
      </c>
      <c r="J33" s="36">
        <v>4</v>
      </c>
      <c r="K33" s="36">
        <v>5</v>
      </c>
      <c r="L33" s="37">
        <f t="shared" ca="1" si="1"/>
        <v>2.7</v>
      </c>
      <c r="M33" s="37" t="str">
        <f t="shared" ca="1" si="2"/>
        <v>High Impact + Low Risk</v>
      </c>
      <c r="N33" s="33"/>
      <c r="O33" s="33"/>
      <c r="P33" s="33" t="s">
        <v>262</v>
      </c>
      <c r="Q33" s="33" t="s">
        <v>286</v>
      </c>
      <c r="R33" s="32" t="s">
        <v>122</v>
      </c>
      <c r="S33" s="14" t="s">
        <v>299</v>
      </c>
      <c r="T33" s="14" t="s">
        <v>299</v>
      </c>
      <c r="U33" s="14" t="s">
        <v>299</v>
      </c>
      <c r="V33" s="14" t="s">
        <v>299</v>
      </c>
      <c r="W33" s="14" t="s">
        <v>299</v>
      </c>
      <c r="X33" s="14" t="s">
        <v>299</v>
      </c>
      <c r="Y33" s="14" t="s">
        <v>299</v>
      </c>
      <c r="Z33" s="14" t="s">
        <v>299</v>
      </c>
      <c r="AA33" s="14" t="s">
        <v>299</v>
      </c>
    </row>
    <row r="34" spans="1:27" s="38" customFormat="1" ht="21.75" customHeight="1" x14ac:dyDescent="0.35">
      <c r="A34" s="39">
        <v>269022</v>
      </c>
      <c r="B34" s="40" t="s">
        <v>157</v>
      </c>
      <c r="C34" s="40" t="s">
        <v>158</v>
      </c>
      <c r="D34" s="40" t="s">
        <v>90</v>
      </c>
      <c r="E34" s="41">
        <v>30852</v>
      </c>
      <c r="F34" s="42">
        <f t="shared" ca="1" si="3"/>
        <v>42</v>
      </c>
      <c r="G34" s="42">
        <f t="shared" ca="1" si="0"/>
        <v>1</v>
      </c>
      <c r="H34" s="36">
        <v>4</v>
      </c>
      <c r="I34" s="36">
        <v>3</v>
      </c>
      <c r="J34" s="36">
        <v>4</v>
      </c>
      <c r="K34" s="36">
        <v>4</v>
      </c>
      <c r="L34" s="43">
        <f t="shared" ca="1" si="1"/>
        <v>3.1</v>
      </c>
      <c r="M34" s="43" t="str">
        <f t="shared" ca="1" si="2"/>
        <v>High Impact + Low Risk</v>
      </c>
      <c r="N34" s="40"/>
      <c r="O34" s="40"/>
      <c r="P34" s="40" t="s">
        <v>265</v>
      </c>
      <c r="Q34" s="40" t="s">
        <v>286</v>
      </c>
      <c r="R34" s="39" t="s">
        <v>122</v>
      </c>
      <c r="S34" s="14" t="s">
        <v>299</v>
      </c>
      <c r="T34" s="14" t="s">
        <v>299</v>
      </c>
      <c r="U34" s="14" t="s">
        <v>299</v>
      </c>
      <c r="V34" s="14" t="s">
        <v>299</v>
      </c>
      <c r="W34" s="14" t="s">
        <v>299</v>
      </c>
      <c r="X34" s="14" t="s">
        <v>299</v>
      </c>
      <c r="Y34" s="14" t="s">
        <v>299</v>
      </c>
      <c r="Z34" s="14" t="s">
        <v>299</v>
      </c>
      <c r="AA34" s="14" t="s">
        <v>299</v>
      </c>
    </row>
    <row r="35" spans="1:27" s="14" customFormat="1" ht="21.75" customHeight="1" x14ac:dyDescent="0.35">
      <c r="A35" s="7">
        <v>253014</v>
      </c>
      <c r="B35" s="9" t="s">
        <v>159</v>
      </c>
      <c r="C35" s="9" t="s">
        <v>160</v>
      </c>
      <c r="D35" s="9" t="s">
        <v>90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 t="s">
        <v>286</v>
      </c>
      <c r="R35" s="7" t="s">
        <v>122</v>
      </c>
      <c r="S35" s="14">
        <v>1</v>
      </c>
      <c r="T35" s="14">
        <v>2.5</v>
      </c>
      <c r="U35" s="14">
        <v>2</v>
      </c>
      <c r="V35" s="14">
        <v>3</v>
      </c>
      <c r="W35" s="14">
        <v>2.5</v>
      </c>
      <c r="X35" s="14">
        <v>3</v>
      </c>
      <c r="Y35" s="14">
        <v>2.5</v>
      </c>
      <c r="Z35" s="14">
        <v>3</v>
      </c>
      <c r="AA35" s="14">
        <v>2.5</v>
      </c>
    </row>
    <row r="36" spans="1:27" s="14" customFormat="1" ht="21.75" customHeight="1" x14ac:dyDescent="0.35">
      <c r="A36" s="8">
        <v>248031</v>
      </c>
      <c r="B36" s="15" t="s">
        <v>161</v>
      </c>
      <c r="C36" s="15" t="s">
        <v>162</v>
      </c>
      <c r="D36" s="15" t="s">
        <v>90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 t="s">
        <v>286</v>
      </c>
      <c r="R36" s="8" t="s">
        <v>122</v>
      </c>
      <c r="S36" s="14">
        <v>3.5</v>
      </c>
      <c r="T36" s="14">
        <v>3</v>
      </c>
      <c r="U36" s="14">
        <v>3.5</v>
      </c>
      <c r="V36" s="14">
        <v>3</v>
      </c>
      <c r="W36" s="14">
        <v>3.5</v>
      </c>
      <c r="X36" s="14">
        <v>3.5</v>
      </c>
      <c r="Y36" s="14">
        <v>3</v>
      </c>
      <c r="Z36" s="14">
        <v>3.5</v>
      </c>
      <c r="AA36" s="14">
        <v>3.5</v>
      </c>
    </row>
    <row r="37" spans="1:27" s="38" customFormat="1" ht="21.75" customHeight="1" x14ac:dyDescent="0.35">
      <c r="A37" s="32">
        <v>251007</v>
      </c>
      <c r="B37" s="33" t="s">
        <v>163</v>
      </c>
      <c r="C37" s="33" t="s">
        <v>164</v>
      </c>
      <c r="D37" s="33" t="s">
        <v>90</v>
      </c>
      <c r="E37" s="34">
        <v>30522</v>
      </c>
      <c r="F37" s="35">
        <f t="shared" ca="1" si="3"/>
        <v>43</v>
      </c>
      <c r="G37" s="35">
        <f t="shared" ca="1" si="0"/>
        <v>1</v>
      </c>
      <c r="H37" s="36">
        <v>4</v>
      </c>
      <c r="I37" s="36">
        <v>1</v>
      </c>
      <c r="J37" s="36">
        <v>3</v>
      </c>
      <c r="K37" s="36">
        <v>4</v>
      </c>
      <c r="L37" s="37">
        <f t="shared" ca="1" si="1"/>
        <v>2.2000000000000002</v>
      </c>
      <c r="M37" s="37" t="str">
        <f t="shared" ca="1" si="2"/>
        <v>High Impact + Low Risk</v>
      </c>
      <c r="N37" s="33"/>
      <c r="O37" s="33"/>
      <c r="P37" s="33" t="s">
        <v>266</v>
      </c>
      <c r="Q37" s="33" t="s">
        <v>286</v>
      </c>
      <c r="R37" s="32" t="s">
        <v>122</v>
      </c>
      <c r="S37" s="14">
        <v>3</v>
      </c>
      <c r="T37" s="14">
        <v>3.5</v>
      </c>
      <c r="U37" s="14">
        <v>3.5</v>
      </c>
      <c r="V37" s="14">
        <v>3</v>
      </c>
      <c r="W37" s="14">
        <v>3.5</v>
      </c>
      <c r="X37" s="14">
        <v>3.5</v>
      </c>
      <c r="Y37" s="14">
        <v>3</v>
      </c>
      <c r="Z37" s="14">
        <v>3.5</v>
      </c>
      <c r="AA37" s="14">
        <v>3</v>
      </c>
    </row>
    <row r="38" spans="1:27" s="14" customFormat="1" ht="21.75" customHeight="1" x14ac:dyDescent="0.35">
      <c r="A38" s="8">
        <v>242012</v>
      </c>
      <c r="B38" s="15" t="s">
        <v>165</v>
      </c>
      <c r="C38" s="15" t="s">
        <v>166</v>
      </c>
      <c r="D38" s="15" t="s">
        <v>90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 t="s">
        <v>286</v>
      </c>
      <c r="R38" s="8" t="s">
        <v>122</v>
      </c>
      <c r="S38" s="14" t="s">
        <v>299</v>
      </c>
      <c r="T38" s="14" t="s">
        <v>299</v>
      </c>
      <c r="U38" s="14" t="s">
        <v>299</v>
      </c>
      <c r="V38" s="14" t="s">
        <v>299</v>
      </c>
      <c r="W38" s="14" t="s">
        <v>299</v>
      </c>
      <c r="X38" s="14" t="s">
        <v>299</v>
      </c>
      <c r="Y38" s="14" t="s">
        <v>299</v>
      </c>
      <c r="Z38" s="14" t="s">
        <v>299</v>
      </c>
      <c r="AA38" s="14" t="s">
        <v>299</v>
      </c>
    </row>
    <row r="39" spans="1:27" s="38" customFormat="1" ht="21.75" customHeight="1" x14ac:dyDescent="0.35">
      <c r="A39" s="32">
        <v>257039</v>
      </c>
      <c r="B39" s="33" t="s">
        <v>167</v>
      </c>
      <c r="C39" s="33" t="s">
        <v>168</v>
      </c>
      <c r="D39" s="33" t="s">
        <v>90</v>
      </c>
      <c r="E39" s="34">
        <v>32578</v>
      </c>
      <c r="F39" s="35">
        <f t="shared" ca="1" si="3"/>
        <v>37</v>
      </c>
      <c r="G39" s="35">
        <f t="shared" ca="1" si="0"/>
        <v>1</v>
      </c>
      <c r="H39" s="36">
        <v>4</v>
      </c>
      <c r="I39" s="36">
        <v>3</v>
      </c>
      <c r="J39" s="36">
        <v>4</v>
      </c>
      <c r="K39" s="36">
        <v>4</v>
      </c>
      <c r="L39" s="37">
        <f t="shared" ca="1" si="1"/>
        <v>3.1</v>
      </c>
      <c r="M39" s="37" t="str">
        <f t="shared" ca="1" si="2"/>
        <v>High Impact + Low Risk</v>
      </c>
      <c r="N39" s="33"/>
      <c r="O39" s="33"/>
      <c r="P39" s="33" t="s">
        <v>267</v>
      </c>
      <c r="Q39" s="33" t="s">
        <v>286</v>
      </c>
      <c r="R39" s="32" t="s">
        <v>122</v>
      </c>
      <c r="S39" s="14">
        <v>3.5</v>
      </c>
      <c r="T39" s="14">
        <v>3.5</v>
      </c>
      <c r="U39" s="14">
        <v>3.5</v>
      </c>
      <c r="V39" s="14">
        <v>3.5</v>
      </c>
      <c r="W39" s="14">
        <v>3.5</v>
      </c>
      <c r="X39" s="14">
        <v>3.5</v>
      </c>
      <c r="Y39" s="14">
        <v>3.5</v>
      </c>
      <c r="Z39" s="14">
        <v>3.5</v>
      </c>
      <c r="AA39" s="14">
        <v>3.5</v>
      </c>
    </row>
    <row r="40" spans="1:27" s="14" customFormat="1" ht="21.75" customHeight="1" x14ac:dyDescent="0.35">
      <c r="A40" s="8">
        <v>244023</v>
      </c>
      <c r="B40" s="15" t="s">
        <v>169</v>
      </c>
      <c r="C40" s="15" t="s">
        <v>170</v>
      </c>
      <c r="D40" s="15" t="s">
        <v>90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R40" s="8" t="s">
        <v>122</v>
      </c>
      <c r="S40" s="14">
        <v>3.5</v>
      </c>
      <c r="T40" s="14">
        <v>3</v>
      </c>
      <c r="U40" s="14">
        <v>3</v>
      </c>
      <c r="V40" s="14">
        <v>3</v>
      </c>
      <c r="W40" s="14">
        <v>3</v>
      </c>
      <c r="X40" s="14">
        <v>3.5</v>
      </c>
      <c r="Y40" s="14">
        <v>3</v>
      </c>
      <c r="Z40" s="14">
        <v>3</v>
      </c>
      <c r="AA40" s="14">
        <v>3</v>
      </c>
    </row>
    <row r="41" spans="1:27" s="26" customFormat="1" ht="21.75" customHeight="1" x14ac:dyDescent="0.35">
      <c r="A41" s="20">
        <v>241009</v>
      </c>
      <c r="B41" s="21" t="s">
        <v>171</v>
      </c>
      <c r="C41" s="21" t="s">
        <v>172</v>
      </c>
      <c r="D41" s="21" t="s">
        <v>90</v>
      </c>
      <c r="E41" s="22">
        <v>28315</v>
      </c>
      <c r="F41" s="23">
        <f t="shared" ca="1" si="3"/>
        <v>49</v>
      </c>
      <c r="G41" s="23">
        <f t="shared" ca="1" si="0"/>
        <v>1</v>
      </c>
      <c r="H41" s="24">
        <v>4</v>
      </c>
      <c r="I41" s="24">
        <v>3</v>
      </c>
      <c r="J41" s="24">
        <v>4</v>
      </c>
      <c r="K41" s="24">
        <v>5</v>
      </c>
      <c r="L41" s="25">
        <f t="shared" ca="1" si="1"/>
        <v>3.3</v>
      </c>
      <c r="M41" s="25" t="str">
        <f t="shared" ca="1" si="2"/>
        <v>High Impact + Low Risk</v>
      </c>
      <c r="N41" s="21" t="s">
        <v>253</v>
      </c>
      <c r="O41" s="21" t="s">
        <v>62</v>
      </c>
      <c r="P41" s="21" t="s">
        <v>268</v>
      </c>
      <c r="Q41" s="21"/>
      <c r="R41" s="20" t="s">
        <v>173</v>
      </c>
      <c r="S41" s="14">
        <v>3</v>
      </c>
      <c r="T41" s="14">
        <v>3</v>
      </c>
      <c r="U41" s="14">
        <v>3</v>
      </c>
      <c r="V41" s="14">
        <v>3</v>
      </c>
      <c r="W41" s="14">
        <v>3</v>
      </c>
      <c r="X41" s="14">
        <v>3</v>
      </c>
      <c r="Y41" s="14">
        <v>3</v>
      </c>
      <c r="Z41" s="14">
        <v>3</v>
      </c>
      <c r="AA41" s="14">
        <v>3</v>
      </c>
    </row>
    <row r="42" spans="1:27" s="26" customFormat="1" ht="21.75" customHeight="1" x14ac:dyDescent="0.35">
      <c r="A42" s="27">
        <v>368001</v>
      </c>
      <c r="B42" s="28" t="s">
        <v>174</v>
      </c>
      <c r="C42" s="28" t="s">
        <v>175</v>
      </c>
      <c r="D42" s="28" t="s">
        <v>90</v>
      </c>
      <c r="E42" s="29">
        <v>30299</v>
      </c>
      <c r="F42" s="30">
        <f t="shared" ca="1" si="3"/>
        <v>43</v>
      </c>
      <c r="G42" s="30">
        <f t="shared" ca="1" si="0"/>
        <v>1</v>
      </c>
      <c r="H42" s="24">
        <v>4</v>
      </c>
      <c r="I42" s="24">
        <v>5</v>
      </c>
      <c r="J42" s="24">
        <v>4</v>
      </c>
      <c r="K42" s="24">
        <v>3</v>
      </c>
      <c r="L42" s="31">
        <f t="shared" ca="1" si="1"/>
        <v>3.5</v>
      </c>
      <c r="M42" s="31" t="str">
        <f t="shared" ca="1" si="2"/>
        <v>High Impact + High Risk</v>
      </c>
      <c r="N42" s="28" t="s">
        <v>284</v>
      </c>
      <c r="O42" s="28"/>
      <c r="P42" s="28" t="s">
        <v>269</v>
      </c>
      <c r="Q42" s="28"/>
      <c r="R42" s="27" t="s">
        <v>173</v>
      </c>
      <c r="S42" s="14" t="s">
        <v>299</v>
      </c>
      <c r="T42" s="14" t="s">
        <v>299</v>
      </c>
      <c r="U42" s="14" t="s">
        <v>299</v>
      </c>
      <c r="V42" s="14" t="s">
        <v>299</v>
      </c>
      <c r="W42" s="14" t="s">
        <v>299</v>
      </c>
      <c r="X42" s="14" t="s">
        <v>299</v>
      </c>
      <c r="Y42" s="14" t="s">
        <v>299</v>
      </c>
      <c r="Z42" s="14" t="s">
        <v>299</v>
      </c>
      <c r="AA42" s="14" t="s">
        <v>299</v>
      </c>
    </row>
    <row r="43" spans="1:27" s="26" customFormat="1" ht="21.75" customHeight="1" x14ac:dyDescent="0.35">
      <c r="A43" s="20">
        <v>148005</v>
      </c>
      <c r="B43" s="21" t="s">
        <v>176</v>
      </c>
      <c r="C43" s="21" t="s">
        <v>177</v>
      </c>
      <c r="D43" s="21" t="s">
        <v>90</v>
      </c>
      <c r="E43" s="22">
        <v>27329</v>
      </c>
      <c r="F43" s="23">
        <f t="shared" ca="1" si="3"/>
        <v>51</v>
      </c>
      <c r="G43" s="23">
        <f t="shared" ca="1" si="0"/>
        <v>2</v>
      </c>
      <c r="H43" s="24">
        <v>4</v>
      </c>
      <c r="I43" s="24">
        <v>1</v>
      </c>
      <c r="J43" s="24">
        <v>4</v>
      </c>
      <c r="K43" s="24">
        <v>4</v>
      </c>
      <c r="L43" s="25">
        <f t="shared" ca="1" si="1"/>
        <v>2.7</v>
      </c>
      <c r="M43" s="25" t="str">
        <f t="shared" ca="1" si="2"/>
        <v>High Impact + Low Risk</v>
      </c>
      <c r="N43" s="21" t="s">
        <v>284</v>
      </c>
      <c r="O43" s="21"/>
      <c r="P43" s="21" t="s">
        <v>270</v>
      </c>
      <c r="Q43" s="21"/>
      <c r="R43" s="20" t="s">
        <v>173</v>
      </c>
      <c r="S43" s="14">
        <v>4</v>
      </c>
      <c r="T43" s="14">
        <v>4</v>
      </c>
      <c r="U43" s="14">
        <v>3.5</v>
      </c>
      <c r="V43" s="14">
        <v>3.5</v>
      </c>
      <c r="W43" s="14">
        <v>3.5</v>
      </c>
      <c r="X43" s="14">
        <v>3.5</v>
      </c>
      <c r="Y43" s="14">
        <v>4</v>
      </c>
      <c r="Z43" s="14">
        <v>3.5</v>
      </c>
      <c r="AA43" s="14">
        <v>3.5</v>
      </c>
    </row>
    <row r="44" spans="1:27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 t="s">
        <v>284</v>
      </c>
      <c r="O44" s="9"/>
      <c r="P44" s="9" t="s">
        <v>271</v>
      </c>
      <c r="Q44" s="9"/>
      <c r="R44" s="7" t="s">
        <v>93</v>
      </c>
      <c r="S44" s="14">
        <v>3</v>
      </c>
      <c r="T44" s="14">
        <v>3</v>
      </c>
      <c r="U44" s="14">
        <v>3</v>
      </c>
      <c r="V44" s="14">
        <v>3</v>
      </c>
      <c r="W44" s="14">
        <v>3</v>
      </c>
      <c r="X44" s="14">
        <v>3</v>
      </c>
      <c r="Y44" s="14">
        <v>3</v>
      </c>
      <c r="Z44" s="14">
        <v>3</v>
      </c>
      <c r="AA44" s="14">
        <v>3</v>
      </c>
    </row>
    <row r="45" spans="1:27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 t="s">
        <v>284</v>
      </c>
      <c r="O45" s="15"/>
      <c r="P45" s="15" t="s">
        <v>272</v>
      </c>
      <c r="Q45" s="15"/>
      <c r="R45" s="8" t="s">
        <v>93</v>
      </c>
      <c r="S45" s="14" t="s">
        <v>299</v>
      </c>
      <c r="T45" s="14" t="s">
        <v>299</v>
      </c>
      <c r="U45" s="14" t="s">
        <v>299</v>
      </c>
      <c r="V45" s="14" t="s">
        <v>299</v>
      </c>
      <c r="W45" s="14" t="s">
        <v>299</v>
      </c>
      <c r="X45" s="14" t="s">
        <v>299</v>
      </c>
      <c r="Y45" s="14" t="s">
        <v>299</v>
      </c>
      <c r="Z45" s="14" t="s">
        <v>299</v>
      </c>
      <c r="AA45" s="14" t="s">
        <v>299</v>
      </c>
    </row>
    <row r="46" spans="1:27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 t="s">
        <v>284</v>
      </c>
      <c r="O46" s="9"/>
      <c r="P46" s="9" t="s">
        <v>273</v>
      </c>
      <c r="Q46" s="9"/>
      <c r="R46" s="7" t="s">
        <v>93</v>
      </c>
      <c r="S46" s="14" t="s">
        <v>299</v>
      </c>
      <c r="T46" s="14" t="s">
        <v>299</v>
      </c>
      <c r="U46" s="14" t="s">
        <v>299</v>
      </c>
      <c r="V46" s="14" t="s">
        <v>299</v>
      </c>
      <c r="W46" s="14" t="s">
        <v>299</v>
      </c>
      <c r="X46" s="14" t="s">
        <v>299</v>
      </c>
      <c r="Y46" s="14" t="s">
        <v>299</v>
      </c>
      <c r="Z46" s="14" t="s">
        <v>299</v>
      </c>
      <c r="AA46" s="14" t="s">
        <v>299</v>
      </c>
    </row>
    <row r="47" spans="1:27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254</v>
      </c>
      <c r="O47" s="15" t="s">
        <v>255</v>
      </c>
      <c r="P47" s="15" t="s">
        <v>274</v>
      </c>
      <c r="Q47" s="15"/>
      <c r="R47" s="8" t="s">
        <v>93</v>
      </c>
      <c r="S47" s="14">
        <v>3</v>
      </c>
      <c r="T47" s="14">
        <v>3</v>
      </c>
      <c r="U47" s="14">
        <v>3</v>
      </c>
      <c r="V47" s="14">
        <v>3</v>
      </c>
      <c r="W47" s="14">
        <v>3</v>
      </c>
      <c r="X47" s="14">
        <v>3</v>
      </c>
      <c r="Y47" s="14">
        <v>3</v>
      </c>
      <c r="Z47" s="14">
        <v>3</v>
      </c>
      <c r="AA47" s="14">
        <v>3</v>
      </c>
    </row>
    <row r="48" spans="1:27" s="14" customFormat="1" ht="21.75" customHeight="1" x14ac:dyDescent="0.35">
      <c r="A48" s="7">
        <v>146037</v>
      </c>
      <c r="B48" s="9" t="s">
        <v>184</v>
      </c>
      <c r="C48" s="9" t="s">
        <v>185</v>
      </c>
      <c r="D48" s="9" t="s">
        <v>90</v>
      </c>
      <c r="E48" s="10" t="s">
        <v>186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7" si="6">IF(OR(I48="",J48="",K48="",G48=""),"",ROUND(G48*0.2+I48*0.3+J48*0.3+K48*0.2,2))</f>
        <v>4.0999999999999996</v>
      </c>
      <c r="M48" s="13" t="str">
        <f t="shared" ref="M48:M67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 t="s">
        <v>284</v>
      </c>
      <c r="O48" s="9"/>
      <c r="P48" s="9" t="s">
        <v>275</v>
      </c>
      <c r="Q48" s="9"/>
      <c r="R48" s="7" t="s">
        <v>242</v>
      </c>
      <c r="S48" s="14">
        <v>3</v>
      </c>
      <c r="T48" s="14">
        <v>3</v>
      </c>
      <c r="U48" s="14">
        <v>3</v>
      </c>
      <c r="V48" s="14">
        <v>3.5</v>
      </c>
      <c r="W48" s="14">
        <v>3.5</v>
      </c>
      <c r="X48" s="14">
        <v>3.5</v>
      </c>
      <c r="Y48" s="14">
        <v>3</v>
      </c>
      <c r="Z48" s="14">
        <v>3</v>
      </c>
      <c r="AA48" s="14">
        <v>3</v>
      </c>
    </row>
    <row r="49" spans="1:27" s="14" customFormat="1" ht="21.75" customHeight="1" x14ac:dyDescent="0.35">
      <c r="A49" s="8">
        <v>139013</v>
      </c>
      <c r="B49" s="15" t="s">
        <v>187</v>
      </c>
      <c r="C49" s="15" t="s">
        <v>188</v>
      </c>
      <c r="D49" s="15" t="s">
        <v>90</v>
      </c>
      <c r="E49" s="16" t="s">
        <v>189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208</v>
      </c>
      <c r="O49" s="15" t="s">
        <v>252</v>
      </c>
      <c r="P49" s="15" t="s">
        <v>276</v>
      </c>
      <c r="Q49" s="15"/>
      <c r="R49" s="8" t="s">
        <v>242</v>
      </c>
      <c r="S49" s="14">
        <v>3</v>
      </c>
      <c r="T49" s="14">
        <v>3</v>
      </c>
      <c r="U49" s="14">
        <v>3</v>
      </c>
      <c r="V49" s="14">
        <v>3</v>
      </c>
      <c r="W49" s="14">
        <v>3</v>
      </c>
      <c r="X49" s="14">
        <v>3</v>
      </c>
      <c r="Y49" s="14">
        <v>3</v>
      </c>
      <c r="Z49" s="14">
        <v>3</v>
      </c>
      <c r="AA49" s="14">
        <v>3</v>
      </c>
    </row>
    <row r="50" spans="1:27" s="14" customFormat="1" ht="21.75" customHeight="1" x14ac:dyDescent="0.35">
      <c r="A50" s="7">
        <v>145015</v>
      </c>
      <c r="B50" s="9" t="s">
        <v>190</v>
      </c>
      <c r="C50" s="9" t="s">
        <v>191</v>
      </c>
      <c r="D50" s="9" t="s">
        <v>90</v>
      </c>
      <c r="E50" s="10" t="s">
        <v>192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 t="s">
        <v>284</v>
      </c>
      <c r="O50" s="9"/>
      <c r="P50" s="9" t="s">
        <v>277</v>
      </c>
      <c r="Q50" s="9"/>
      <c r="R50" s="7" t="s">
        <v>242</v>
      </c>
      <c r="S50" s="14">
        <v>3</v>
      </c>
      <c r="T50" s="14">
        <v>3</v>
      </c>
      <c r="U50" s="14">
        <v>3</v>
      </c>
      <c r="V50" s="14">
        <v>3</v>
      </c>
      <c r="W50" s="14">
        <v>3</v>
      </c>
      <c r="X50" s="14">
        <v>3</v>
      </c>
      <c r="Y50" s="14">
        <v>3</v>
      </c>
      <c r="Z50" s="14">
        <v>3</v>
      </c>
      <c r="AA50" s="14">
        <v>3</v>
      </c>
    </row>
    <row r="51" spans="1:27" s="14" customFormat="1" ht="21.75" customHeight="1" x14ac:dyDescent="0.35">
      <c r="A51" s="8">
        <v>161005</v>
      </c>
      <c r="B51" s="15" t="s">
        <v>193</v>
      </c>
      <c r="C51" s="15" t="s">
        <v>194</v>
      </c>
      <c r="D51" s="15" t="s">
        <v>90</v>
      </c>
      <c r="E51" s="16" t="s">
        <v>195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R51" s="8" t="s">
        <v>242</v>
      </c>
      <c r="S51" s="14" t="s">
        <v>299</v>
      </c>
      <c r="T51" s="14" t="s">
        <v>299</v>
      </c>
      <c r="U51" s="14" t="s">
        <v>299</v>
      </c>
      <c r="V51" s="14" t="s">
        <v>299</v>
      </c>
      <c r="W51" s="14" t="s">
        <v>299</v>
      </c>
      <c r="X51" s="14" t="s">
        <v>299</v>
      </c>
      <c r="Y51" s="14" t="s">
        <v>299</v>
      </c>
      <c r="Z51" s="14" t="s">
        <v>299</v>
      </c>
      <c r="AA51" s="14" t="s">
        <v>299</v>
      </c>
    </row>
    <row r="52" spans="1:27" s="14" customFormat="1" ht="21.75" customHeight="1" x14ac:dyDescent="0.35">
      <c r="A52" s="7">
        <v>163003</v>
      </c>
      <c r="B52" s="9" t="s">
        <v>196</v>
      </c>
      <c r="C52" s="9" t="s">
        <v>197</v>
      </c>
      <c r="D52" s="9" t="s">
        <v>90</v>
      </c>
      <c r="E52" s="10" t="s">
        <v>198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R52" s="7" t="s">
        <v>242</v>
      </c>
      <c r="S52" s="14" t="s">
        <v>299</v>
      </c>
      <c r="T52" s="14" t="s">
        <v>299</v>
      </c>
      <c r="U52" s="14" t="s">
        <v>299</v>
      </c>
      <c r="V52" s="14" t="s">
        <v>299</v>
      </c>
      <c r="W52" s="14" t="s">
        <v>299</v>
      </c>
      <c r="X52" s="14" t="s">
        <v>299</v>
      </c>
      <c r="Y52" s="14" t="s">
        <v>299</v>
      </c>
      <c r="Z52" s="14" t="s">
        <v>299</v>
      </c>
      <c r="AA52" s="14" t="s">
        <v>299</v>
      </c>
    </row>
    <row r="53" spans="1:27" s="14" customFormat="1" ht="21.75" customHeight="1" x14ac:dyDescent="0.35">
      <c r="A53" s="8">
        <v>166024</v>
      </c>
      <c r="B53" s="15" t="s">
        <v>199</v>
      </c>
      <c r="C53" s="15" t="s">
        <v>200</v>
      </c>
      <c r="D53" s="15" t="s">
        <v>90</v>
      </c>
      <c r="E53" s="16" t="s">
        <v>201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R53" s="8" t="s">
        <v>242</v>
      </c>
      <c r="S53" s="14" t="s">
        <v>299</v>
      </c>
      <c r="T53" s="14" t="s">
        <v>299</v>
      </c>
      <c r="U53" s="14" t="s">
        <v>299</v>
      </c>
      <c r="V53" s="14" t="s">
        <v>299</v>
      </c>
      <c r="W53" s="14" t="s">
        <v>299</v>
      </c>
      <c r="X53" s="14" t="s">
        <v>299</v>
      </c>
      <c r="Y53" s="14" t="s">
        <v>299</v>
      </c>
      <c r="Z53" s="14" t="s">
        <v>299</v>
      </c>
      <c r="AA53" s="14" t="s">
        <v>299</v>
      </c>
    </row>
    <row r="54" spans="1:27" s="14" customFormat="1" ht="21.75" customHeight="1" x14ac:dyDescent="0.35">
      <c r="A54" s="7">
        <v>167001</v>
      </c>
      <c r="B54" s="9" t="s">
        <v>202</v>
      </c>
      <c r="C54" s="9" t="s">
        <v>203</v>
      </c>
      <c r="D54" s="9" t="s">
        <v>90</v>
      </c>
      <c r="E54" s="10" t="s">
        <v>204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R54" s="7" t="s">
        <v>242</v>
      </c>
      <c r="S54" s="14" t="s">
        <v>299</v>
      </c>
      <c r="T54" s="14" t="s">
        <v>299</v>
      </c>
      <c r="U54" s="14" t="s">
        <v>299</v>
      </c>
      <c r="V54" s="14" t="s">
        <v>299</v>
      </c>
      <c r="W54" s="14" t="s">
        <v>299</v>
      </c>
      <c r="X54" s="14" t="s">
        <v>299</v>
      </c>
      <c r="Y54" s="14" t="s">
        <v>299</v>
      </c>
      <c r="Z54" s="14" t="s">
        <v>299</v>
      </c>
      <c r="AA54" s="14" t="s">
        <v>299</v>
      </c>
    </row>
    <row r="55" spans="1:27" s="14" customFormat="1" ht="21.75" customHeight="1" x14ac:dyDescent="0.35">
      <c r="A55" s="8">
        <v>167012</v>
      </c>
      <c r="B55" s="15" t="s">
        <v>205</v>
      </c>
      <c r="C55" s="15" t="s">
        <v>206</v>
      </c>
      <c r="D55" s="15" t="s">
        <v>90</v>
      </c>
      <c r="E55" s="16" t="s">
        <v>207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R55" s="8" t="s">
        <v>242</v>
      </c>
      <c r="S55" s="14">
        <v>3</v>
      </c>
      <c r="T55" s="14">
        <v>2.5</v>
      </c>
      <c r="U55" s="14">
        <v>3</v>
      </c>
      <c r="V55" s="14">
        <v>3</v>
      </c>
      <c r="W55" s="14">
        <v>3</v>
      </c>
      <c r="X55" s="14">
        <v>3.5</v>
      </c>
      <c r="Y55" s="14">
        <v>2.5</v>
      </c>
      <c r="Z55" s="14">
        <v>3</v>
      </c>
      <c r="AA55" s="14">
        <v>3</v>
      </c>
    </row>
    <row r="56" spans="1:27" s="14" customFormat="1" ht="21.75" customHeight="1" x14ac:dyDescent="0.35">
      <c r="A56" s="7">
        <v>260001</v>
      </c>
      <c r="B56" s="9" t="s">
        <v>208</v>
      </c>
      <c r="C56" s="9" t="s">
        <v>209</v>
      </c>
      <c r="D56" s="9" t="s">
        <v>90</v>
      </c>
      <c r="E56" s="10" t="s">
        <v>210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 t="s">
        <v>284</v>
      </c>
      <c r="O56" s="9"/>
      <c r="P56" s="9" t="s">
        <v>278</v>
      </c>
      <c r="Q56" s="9"/>
      <c r="R56" s="7" t="s">
        <v>242</v>
      </c>
      <c r="S56" s="14">
        <v>3</v>
      </c>
      <c r="T56" s="14">
        <v>3</v>
      </c>
      <c r="U56" s="14">
        <v>3</v>
      </c>
      <c r="V56" s="14">
        <v>3</v>
      </c>
      <c r="W56" s="14">
        <v>3</v>
      </c>
      <c r="X56" s="14">
        <v>3</v>
      </c>
      <c r="Y56" s="14">
        <v>3</v>
      </c>
      <c r="Z56" s="14">
        <v>3</v>
      </c>
      <c r="AA56" s="14">
        <v>3</v>
      </c>
    </row>
    <row r="57" spans="1:27" s="14" customFormat="1" ht="21.75" customHeight="1" x14ac:dyDescent="0.35">
      <c r="A57" s="8">
        <v>267001</v>
      </c>
      <c r="B57" s="15" t="s">
        <v>211</v>
      </c>
      <c r="C57" s="15" t="s">
        <v>212</v>
      </c>
      <c r="D57" s="15" t="s">
        <v>90</v>
      </c>
      <c r="E57" s="16" t="s">
        <v>213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R57" s="8" t="s">
        <v>242</v>
      </c>
      <c r="S57" s="14" t="s">
        <v>299</v>
      </c>
      <c r="T57" s="14" t="s">
        <v>299</v>
      </c>
      <c r="U57" s="14" t="s">
        <v>299</v>
      </c>
      <c r="V57" s="14" t="s">
        <v>299</v>
      </c>
      <c r="W57" s="14" t="s">
        <v>299</v>
      </c>
      <c r="X57" s="14" t="s">
        <v>299</v>
      </c>
      <c r="Y57" s="14" t="s">
        <v>299</v>
      </c>
      <c r="Z57" s="14" t="s">
        <v>299</v>
      </c>
      <c r="AA57" s="14" t="s">
        <v>299</v>
      </c>
    </row>
    <row r="58" spans="1:27" s="14" customFormat="1" ht="21.75" customHeight="1" x14ac:dyDescent="0.35">
      <c r="A58" s="7">
        <v>160001</v>
      </c>
      <c r="B58" s="9" t="s">
        <v>214</v>
      </c>
      <c r="C58" s="9" t="s">
        <v>215</v>
      </c>
      <c r="D58" s="9" t="s">
        <v>90</v>
      </c>
      <c r="E58" s="10" t="s">
        <v>216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 t="s">
        <v>284</v>
      </c>
      <c r="O58" s="9"/>
      <c r="P58" s="9" t="s">
        <v>279</v>
      </c>
      <c r="Q58" s="9"/>
      <c r="R58" s="7" t="s">
        <v>242</v>
      </c>
      <c r="S58" s="14">
        <v>3</v>
      </c>
      <c r="T58" s="14">
        <v>3</v>
      </c>
      <c r="U58" s="14">
        <v>3</v>
      </c>
      <c r="V58" s="14">
        <v>3</v>
      </c>
      <c r="W58" s="14">
        <v>3.5</v>
      </c>
      <c r="X58" s="14">
        <v>3</v>
      </c>
      <c r="Y58" s="14">
        <v>3</v>
      </c>
      <c r="Z58" s="14">
        <v>3</v>
      </c>
      <c r="AA58" s="14">
        <v>3</v>
      </c>
    </row>
    <row r="59" spans="1:27" s="14" customFormat="1" ht="21.75" customHeight="1" x14ac:dyDescent="0.35">
      <c r="A59" s="7">
        <v>167020</v>
      </c>
      <c r="B59" s="9" t="s">
        <v>217</v>
      </c>
      <c r="C59" s="9" t="s">
        <v>218</v>
      </c>
      <c r="D59" s="9" t="s">
        <v>90</v>
      </c>
      <c r="E59" s="10" t="s">
        <v>219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R59" s="7" t="s">
        <v>242</v>
      </c>
      <c r="S59" s="14" t="s">
        <v>299</v>
      </c>
      <c r="T59" s="14" t="s">
        <v>299</v>
      </c>
      <c r="U59" s="14" t="s">
        <v>299</v>
      </c>
      <c r="V59" s="14" t="s">
        <v>299</v>
      </c>
      <c r="W59" s="14" t="s">
        <v>299</v>
      </c>
      <c r="X59" s="14" t="s">
        <v>299</v>
      </c>
      <c r="Y59" s="14" t="s">
        <v>299</v>
      </c>
      <c r="Z59" s="14" t="s">
        <v>299</v>
      </c>
      <c r="AA59" s="14" t="s">
        <v>299</v>
      </c>
    </row>
    <row r="60" spans="1:27" s="14" customFormat="1" ht="21.75" customHeight="1" x14ac:dyDescent="0.35">
      <c r="A60" s="8">
        <v>167029</v>
      </c>
      <c r="B60" s="15" t="s">
        <v>220</v>
      </c>
      <c r="C60" s="15" t="s">
        <v>221</v>
      </c>
      <c r="D60" s="15" t="s">
        <v>90</v>
      </c>
      <c r="E60" s="16" t="s">
        <v>222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 t="s">
        <v>284</v>
      </c>
      <c r="O60" s="15"/>
      <c r="P60" s="15" t="s">
        <v>280</v>
      </c>
      <c r="Q60" s="15"/>
      <c r="R60" s="8" t="s">
        <v>242</v>
      </c>
      <c r="S60" s="14">
        <v>2.5</v>
      </c>
      <c r="T60" s="14">
        <v>3</v>
      </c>
      <c r="U60" s="14">
        <v>2.5</v>
      </c>
      <c r="V60" s="14">
        <v>3</v>
      </c>
      <c r="W60" s="14">
        <v>3</v>
      </c>
      <c r="X60" s="14">
        <v>3</v>
      </c>
      <c r="Y60" s="14">
        <v>2.5</v>
      </c>
      <c r="Z60" s="14">
        <v>3</v>
      </c>
      <c r="AA60" s="14">
        <v>2.5</v>
      </c>
    </row>
    <row r="61" spans="1:27" s="14" customFormat="1" ht="21.75" customHeight="1" x14ac:dyDescent="0.35">
      <c r="A61" s="7">
        <v>167032</v>
      </c>
      <c r="B61" s="9" t="s">
        <v>223</v>
      </c>
      <c r="C61" s="9" t="s">
        <v>224</v>
      </c>
      <c r="D61" s="9" t="s">
        <v>90</v>
      </c>
      <c r="E61" s="10" t="s">
        <v>225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R61" s="7" t="s">
        <v>242</v>
      </c>
      <c r="S61" s="14" t="s">
        <v>299</v>
      </c>
      <c r="T61" s="14" t="s">
        <v>299</v>
      </c>
      <c r="U61" s="14" t="s">
        <v>299</v>
      </c>
      <c r="V61" s="14" t="s">
        <v>299</v>
      </c>
      <c r="W61" s="14" t="s">
        <v>299</v>
      </c>
      <c r="X61" s="14" t="s">
        <v>299</v>
      </c>
      <c r="Y61" s="14" t="s">
        <v>299</v>
      </c>
      <c r="Z61" s="14" t="s">
        <v>299</v>
      </c>
      <c r="AA61" s="14" t="s">
        <v>299</v>
      </c>
    </row>
    <row r="62" spans="1:27" s="14" customFormat="1" ht="21.75" customHeight="1" x14ac:dyDescent="0.35">
      <c r="A62" s="8">
        <v>168024</v>
      </c>
      <c r="B62" s="15" t="s">
        <v>226</v>
      </c>
      <c r="C62" s="15" t="s">
        <v>227</v>
      </c>
      <c r="D62" s="15" t="s">
        <v>90</v>
      </c>
      <c r="E62" s="16" t="s">
        <v>228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 t="s">
        <v>284</v>
      </c>
      <c r="O62" s="15"/>
      <c r="P62" s="15" t="s">
        <v>281</v>
      </c>
      <c r="Q62" s="15"/>
      <c r="R62" s="8" t="s">
        <v>242</v>
      </c>
      <c r="S62" s="14">
        <v>3</v>
      </c>
      <c r="T62" s="14">
        <v>3</v>
      </c>
      <c r="U62" s="14">
        <v>3</v>
      </c>
      <c r="V62" s="14">
        <v>2.5</v>
      </c>
      <c r="W62" s="14">
        <v>2.5</v>
      </c>
      <c r="X62" s="14">
        <v>3</v>
      </c>
      <c r="Y62" s="14">
        <v>2.5</v>
      </c>
      <c r="Z62" s="14">
        <v>3</v>
      </c>
      <c r="AA62" s="14">
        <v>2.5</v>
      </c>
    </row>
    <row r="63" spans="1:27" s="14" customFormat="1" ht="21.75" customHeight="1" x14ac:dyDescent="0.35">
      <c r="A63" s="8">
        <v>337004</v>
      </c>
      <c r="B63" s="15" t="s">
        <v>229</v>
      </c>
      <c r="C63" s="15" t="s">
        <v>230</v>
      </c>
      <c r="D63" s="15" t="s">
        <v>90</v>
      </c>
      <c r="E63" s="16" t="s">
        <v>231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R63" s="8" t="s">
        <v>242</v>
      </c>
      <c r="S63" s="14" t="s">
        <v>299</v>
      </c>
      <c r="T63" s="14" t="s">
        <v>299</v>
      </c>
      <c r="U63" s="14" t="s">
        <v>299</v>
      </c>
      <c r="V63" s="14" t="s">
        <v>299</v>
      </c>
      <c r="W63" s="14" t="s">
        <v>299</v>
      </c>
      <c r="X63" s="14" t="s">
        <v>299</v>
      </c>
      <c r="Y63" s="14" t="s">
        <v>299</v>
      </c>
      <c r="Z63" s="14" t="s">
        <v>299</v>
      </c>
      <c r="AA63" s="14" t="s">
        <v>299</v>
      </c>
    </row>
    <row r="64" spans="1:27" s="14" customFormat="1" ht="21.75" customHeight="1" x14ac:dyDescent="0.35">
      <c r="A64" s="8">
        <v>268044</v>
      </c>
      <c r="B64" s="15" t="s">
        <v>233</v>
      </c>
      <c r="C64" s="15" t="s">
        <v>232</v>
      </c>
      <c r="D64" s="15" t="s">
        <v>90</v>
      </c>
      <c r="E64" s="16" t="s">
        <v>234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R64" s="8" t="s">
        <v>242</v>
      </c>
      <c r="S64" s="14" t="s">
        <v>299</v>
      </c>
      <c r="T64" s="14" t="s">
        <v>299</v>
      </c>
      <c r="U64" s="14" t="s">
        <v>299</v>
      </c>
      <c r="V64" s="14" t="s">
        <v>299</v>
      </c>
      <c r="W64" s="14" t="s">
        <v>299</v>
      </c>
      <c r="X64" s="14" t="s">
        <v>299</v>
      </c>
      <c r="Y64" s="14" t="s">
        <v>299</v>
      </c>
      <c r="Z64" s="14" t="s">
        <v>299</v>
      </c>
      <c r="AA64" s="14" t="s">
        <v>299</v>
      </c>
    </row>
    <row r="65" spans="1:27" s="14" customFormat="1" ht="21.75" customHeight="1" x14ac:dyDescent="0.35">
      <c r="A65" s="7">
        <v>368004</v>
      </c>
      <c r="B65" s="9" t="s">
        <v>235</v>
      </c>
      <c r="C65" s="9" t="s">
        <v>236</v>
      </c>
      <c r="D65" s="9" t="s">
        <v>90</v>
      </c>
      <c r="E65" s="10" t="s">
        <v>237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 t="s">
        <v>284</v>
      </c>
      <c r="O65" s="9"/>
      <c r="P65" s="9" t="s">
        <v>289</v>
      </c>
      <c r="Q65" s="9"/>
      <c r="R65" s="7" t="s">
        <v>242</v>
      </c>
      <c r="S65" s="14" t="s">
        <v>299</v>
      </c>
      <c r="T65" s="14" t="s">
        <v>299</v>
      </c>
      <c r="U65" s="14" t="s">
        <v>299</v>
      </c>
      <c r="V65" s="14" t="s">
        <v>299</v>
      </c>
      <c r="W65" s="14" t="s">
        <v>299</v>
      </c>
      <c r="X65" s="14" t="s">
        <v>299</v>
      </c>
      <c r="Y65" s="14" t="s">
        <v>299</v>
      </c>
      <c r="Z65" s="14" t="s">
        <v>299</v>
      </c>
      <c r="AA65" s="14" t="s">
        <v>299</v>
      </c>
    </row>
    <row r="66" spans="1:27" s="14" customFormat="1" ht="21.75" customHeight="1" x14ac:dyDescent="0.35">
      <c r="A66" s="7" t="s">
        <v>238</v>
      </c>
      <c r="B66" s="9" t="s">
        <v>128</v>
      </c>
      <c r="C66" s="9" t="s">
        <v>239</v>
      </c>
      <c r="D66" s="9" t="s">
        <v>90</v>
      </c>
      <c r="E66" s="10" t="s">
        <v>240</v>
      </c>
      <c r="F66" s="11">
        <v>55</v>
      </c>
      <c r="G66" s="11">
        <v>3</v>
      </c>
      <c r="H66" s="12">
        <v>4</v>
      </c>
      <c r="I66" s="12">
        <v>4</v>
      </c>
      <c r="J66" s="12">
        <v>4</v>
      </c>
      <c r="K66" s="12">
        <v>4</v>
      </c>
      <c r="L66" s="13">
        <f t="shared" si="6"/>
        <v>3.8</v>
      </c>
      <c r="M66" s="13" t="str">
        <f t="shared" si="7"/>
        <v>High Impact + High Risk</v>
      </c>
      <c r="N66" s="9" t="s">
        <v>284</v>
      </c>
      <c r="O66" s="9"/>
      <c r="P66" s="9" t="s">
        <v>287</v>
      </c>
      <c r="Q66" s="9"/>
      <c r="R66" s="7" t="s">
        <v>242</v>
      </c>
      <c r="S66" s="14" t="s">
        <v>299</v>
      </c>
      <c r="T66" s="14" t="s">
        <v>299</v>
      </c>
      <c r="U66" s="14" t="s">
        <v>299</v>
      </c>
      <c r="V66" s="14" t="s">
        <v>299</v>
      </c>
      <c r="W66" s="14" t="s">
        <v>299</v>
      </c>
      <c r="X66" s="14" t="s">
        <v>299</v>
      </c>
      <c r="Y66" s="14" t="s">
        <v>299</v>
      </c>
      <c r="Z66" s="14" t="s">
        <v>299</v>
      </c>
      <c r="AA66" s="14" t="s">
        <v>299</v>
      </c>
    </row>
    <row r="67" spans="1:27" s="26" customFormat="1" ht="21.75" customHeight="1" x14ac:dyDescent="0.35">
      <c r="A67" s="20">
        <v>168016</v>
      </c>
      <c r="B67" s="21" t="s">
        <v>243</v>
      </c>
      <c r="C67" s="21" t="s">
        <v>244</v>
      </c>
      <c r="D67" s="21" t="s">
        <v>90</v>
      </c>
      <c r="E67" s="22" t="s">
        <v>245</v>
      </c>
      <c r="F67" s="23">
        <v>35</v>
      </c>
      <c r="G67" s="23">
        <v>1</v>
      </c>
      <c r="H67" s="24">
        <v>4</v>
      </c>
      <c r="I67" s="24">
        <v>3</v>
      </c>
      <c r="J67" s="24">
        <v>4</v>
      </c>
      <c r="K67" s="24">
        <v>1</v>
      </c>
      <c r="L67" s="25">
        <f t="shared" si="6"/>
        <v>2.5</v>
      </c>
      <c r="M67" s="25" t="str">
        <f t="shared" si="7"/>
        <v>High Impact + Low Risk</v>
      </c>
      <c r="N67" s="21" t="s">
        <v>284</v>
      </c>
      <c r="O67" s="21" t="s">
        <v>241</v>
      </c>
      <c r="P67" s="21" t="s">
        <v>282</v>
      </c>
      <c r="Q67" s="21"/>
      <c r="R67" s="20" t="s">
        <v>246</v>
      </c>
      <c r="S67" s="14">
        <v>3.5</v>
      </c>
      <c r="T67" s="14">
        <v>3.5</v>
      </c>
      <c r="U67" s="14">
        <v>4</v>
      </c>
      <c r="V67" s="14">
        <v>4</v>
      </c>
      <c r="W67" s="14">
        <v>3.5</v>
      </c>
      <c r="X67" s="14">
        <v>4</v>
      </c>
      <c r="Y67" s="14">
        <v>4</v>
      </c>
      <c r="Z67" s="14">
        <v>4</v>
      </c>
      <c r="AA67" s="14">
        <v>3.5</v>
      </c>
    </row>
    <row r="68" spans="1:27" s="14" customFormat="1" ht="21.75" customHeight="1" x14ac:dyDescent="0.35">
      <c r="A68" s="8">
        <v>258026</v>
      </c>
      <c r="B68" s="15" t="s">
        <v>247</v>
      </c>
      <c r="C68" s="15" t="s">
        <v>248</v>
      </c>
      <c r="D68" s="15" t="s">
        <v>90</v>
      </c>
      <c r="E68" s="16" t="s">
        <v>249</v>
      </c>
      <c r="F68" s="17">
        <v>42</v>
      </c>
      <c r="G68" s="17">
        <v>1</v>
      </c>
      <c r="H68" s="12">
        <v>4</v>
      </c>
      <c r="I68" s="12">
        <v>3</v>
      </c>
      <c r="J68" s="12">
        <v>4</v>
      </c>
      <c r="K68" s="12">
        <v>3</v>
      </c>
      <c r="L68" s="18">
        <f t="shared" ref="L68" si="8">IF(OR(I68="",J68="",K68="",G68=""),"",ROUND(G68*0.2+I68*0.3+J68*0.3+K68*0.2,2))</f>
        <v>2.9</v>
      </c>
      <c r="M68" s="18" t="str">
        <f t="shared" ref="M68" si="9">IF(OR(H68="",L68=""),"",IF(AND(H68&gt;=4,L68&gt;=3.5),"High Impact + High Risk",IF(AND(H68&gt;=4,L68&lt;3.5),"High Impact + Low Risk",IF(AND(H68&lt;4,L68&gt;=3.5),"Low Impact + High Risk","Low Impact + Low Risk"))))</f>
        <v>High Impact + Low Risk</v>
      </c>
      <c r="N68" s="15" t="s">
        <v>96</v>
      </c>
      <c r="O68" s="15" t="s">
        <v>62</v>
      </c>
      <c r="P68" s="15" t="s">
        <v>283</v>
      </c>
      <c r="Q68" s="15"/>
      <c r="R68" s="8" t="s">
        <v>93</v>
      </c>
      <c r="S68" s="14">
        <v>3.5</v>
      </c>
      <c r="T68" s="14">
        <v>3.5</v>
      </c>
      <c r="U68" s="14">
        <v>3.5</v>
      </c>
      <c r="V68" s="14">
        <v>4.5</v>
      </c>
      <c r="W68" s="14">
        <v>3.5</v>
      </c>
      <c r="X68" s="14">
        <v>4</v>
      </c>
      <c r="Y68" s="14">
        <v>3.5</v>
      </c>
      <c r="Z68" s="14">
        <v>3.5</v>
      </c>
      <c r="AA68" s="14">
        <v>3.5</v>
      </c>
    </row>
  </sheetData>
  <autoFilter ref="A2:R68" xr:uid="{00000000-0001-0000-0000-000000000000}"/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2026-10-26T09:47:24Z</dcterms:modified>
  <dc:language>en-US</dc:language>
</cp:coreProperties>
</file>