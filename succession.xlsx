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5" documentId="13_ncr:1_{89C05139-767C-4D44-95FE-72D2855E25B1}" xr6:coauthVersionLast="47" xr6:coauthVersionMax="47" xr10:uidLastSave="{051A3486-607C-4F53-A01D-1D27ACB4B436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1" l="1"/>
  <c r="G17" i="1" s="1"/>
  <c r="L17" i="1" s="1"/>
  <c r="M17" i="1" s="1"/>
  <c r="F70" i="1"/>
  <c r="G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14" i="1"/>
  <c r="M14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<sst xmlns="http://schemas.openxmlformats.org/spreadsheetml/2006/main" count="463" uniqueCount="295">
  <si>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</si>
  <si>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</si>
  <si>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</si>
  <si>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</si>
  <si>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</si>
  <si>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</si>
  <si>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</si>
  <si>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</si>
  <si>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</si>
  <si>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</si>
  <si>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</si>
  <si>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</si>
  <si>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</si>
  <si>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</si>
  <si>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</si>
  <si>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</si>
  <si>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</si>
  <si>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</si>
  <si>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</si>
  <si>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</si>
  <si>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</si>
  <si>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</si>
  <si>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</si>
  <si>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</si>
  <si>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</si>
  <si>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</si>
  <si>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</si>
  <si>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</si>
  <si>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</si>
  <si>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</si>
  <si>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</si>
  <si>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</si>
  <si>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</si>
  <si>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</si>
  <si>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</si>
  <si>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</si>
  <si>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</si>
  <si>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</si>
  <si>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</si>
  <si>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</si>
  <si>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</si>
  <si>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</si>
  <si>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</si>
  <si>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</si>
  <si>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</si>
  <si>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</si>
  <si>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</si>
  <si>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</si>
  <si>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</si>
  <si>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</si>
  <si>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</si>
  <si>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</si>
  <si>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</si>
  <si>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</si>
  <si>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</si>
  <si>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</si>
  <si>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</si>
  <si>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</si>
  <si>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</si>
  <si>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</si>
  <si>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</si>
  <si>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</si>
  <si>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</si>
  <si>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</si>
  <si>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</si>
  <si>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</si>
  <si>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</si>
  <si>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</si>
  <si>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</si>
  <si>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</si>
  <si>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</si>
  <si>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</si>
  <si>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</si>
  <si>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</si>
  <si>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</si>
  <si>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</si>
  <si>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</si>
  <si>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</si>
  <si>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</si>
  <si>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</si>
  <si>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</si>
  <si>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</si>
  <si>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</si>
  <si>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</si>
  <si>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</si>
  <si>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</si>
  <si>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</si>
  <si>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</si>
  <si>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</si>
  <si>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</si>
  <si>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</si>
  <si>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</si>
  <si>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</si>
  <si>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</si>
  <si>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</si>
  <si>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</si>
  <si>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</si>
  <si>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</si>
  <si>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</si>
  <si>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</si>
  <si>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</si>
  <si>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</si>
  <si>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</si>
  <si>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</si>
  <si>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</si>
  <si>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</si>
  <si>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</si>
  <si>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</si>
  <si>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</si>
  <si>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</si>
  <si>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</si>
  <si>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</si>
  <si>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</si>
  <si>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</si>
  <si>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</si>
  <si>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</si>
  <si>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</si>
  <si>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</si>
  <si>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</si>
  <si>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</si>
  <si>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</si>
  <si>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</si>
  <si>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</si>
  <si>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</si>
  <si>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</si>
  <si>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</si>
  <si>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</si>
  <si>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</si>
  <si>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</si>
  <si>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</si>
  <si>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</si>
  <si>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</si>
  <si>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</si>
  <si>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</si>
  <si>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</si>
  <si>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</si>
  <si>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</si>
  <si>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</si>
  <si>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</si>
  <si>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</si>
  <si>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</si>
  <si>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</si>
  <si>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</si>
  <si>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</si>
  <si>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</si>
  <si>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</si>
  <si>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</si>
  <si>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</si>
  <si>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</si>
  <si>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</si>
  <si>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</si>
  <si>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</si>
  <si>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</si>
  <si>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</si>
  <si>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</si>
  <si>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</si>
  <si>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</si>
  <si>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</si>
  <si>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</si>
  <si>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</si>
  <si>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</si>
  <si>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</si>
  <si>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</si>
  <si>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</si>
  <si>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</si>
  <si>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</si>
  <si>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</si>
  <si>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</si>
  <si>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</si>
  <si>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</si>
  <si>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</si>
  <si>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</si>
  <si>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</si>
  <si>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</si>
  <si>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</si>
  <si>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</si>
  <si>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</si>
  <si>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</si>
  <si>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</si>
  <si>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</si>
  <si>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</si>
  <si>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</si>
  <si>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</si>
  <si>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</si>
  <si>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</si>
  <si>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</si>
  <si>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</si>
  <si>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</si>
  <si>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</si>
  <si>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</si>
  <si>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</si>
  <si>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</si>
  <si>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</si>
  <si>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</si>
  <si>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</si>
  <si>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</si>
  <si>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</si>
  <si>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</si>
  <si>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</si>
  <si>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</si>
  <si>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</si>
  <si>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</si>
  <si>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</si>
  <si>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</si>
  <si>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</si>
  <si>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</si>
  <si>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</si>
  <si>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</si>
  <si>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</si>
  <si>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</si>
  <si>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</si>
  <si>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</si>
  <si>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</si>
  <si>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</si>
  <si>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</si>
  <si>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</si>
  <si>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</si>
  <si>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</si>
  <si>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</si>
  <si>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</si>
  <si>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</si>
  <si>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</si>
  <si>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</si>
  <si>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</si>
  <si>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</si>
  <si>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</si>
  <si>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</si>
  <si>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</si>
  <si>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</si>
  <si>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</si>
  <si>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</si>
  <si>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</si>
  <si>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</si>
  <si>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</si>
  <si>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</si>
  <si>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</si>
  <si>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</si>
  <si>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</si>
  <si>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</si>
  <si>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</si>
  <si>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</si>
  <si>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</si>
  <si>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</si>
  <si>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</si>
  <si>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</si>
  <si>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</si>
  <si>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</si>
  <si>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</si>
  <si>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</si>
  <si>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</si>
  <si>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</si>
  <si>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</si>
  <si>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</si>
  <si>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</si>
  <si>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</si>
  <si>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</si>
  <si>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</si>
  <si>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</si>
  <si>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</si>
  <si>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</si>
  <si>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</si>
  <si>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</si>
  <si>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</si>
  <si>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</si>
  <si>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</si>
  <si>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</si>
  <si>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</si>
  <si>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</si>
  <si>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</si>
  <si>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</si>
  <si>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</si>
  <si>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</si>
  <si>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</si>
  <si>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</si>
  <si>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</si>
  <si>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</si>
  <si>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</si>
  <si>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</si>
  <si>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</si>
  <si>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</si>
  <si>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</si>
  <si>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</si>
  <si>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</si>
  <si>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</si>
  <si>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</si>
  <si>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</si>
  <si>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>149024 A_Acting Procurement Manager.docx</t>
  </si>
  <si>
    <t>266049_Department Manager Human Resources.docx</t>
  </si>
  <si>
    <t>368004_Contract-Procurement.docx</t>
  </si>
  <si>
    <t>ภราดร นิเทศพัตรพงศ์</t>
  </si>
  <si>
    <t>268029 B</t>
  </si>
  <si>
    <t>Acting Department Manager - Batch and Furnace</t>
  </si>
  <si>
    <t>02/04/1974</t>
  </si>
  <si>
    <t>รักษาการ</t>
  </si>
  <si>
    <t>268029 B_Department Manager_Batch &amp; Furnace.docx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</si>
</sst>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wrapText="1" shrinkToFit="1"/>
    </xf>
    <xf numFmtId="0" fontId="28" fillId="14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vertical="center"/>
    </xf>
    <xf numFmtId="0" fontId="29" fillId="15" borderId="1" xfId="0" applyFont="1" applyFill="1" applyBorder="1" applyAlignment="1">
      <alignment vertical="center" shrinkToFit="1"/>
    </xf>
    <xf numFmtId="164" fontId="28" fillId="1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63" t="s">
        <v>18</v>
      </c>
      <c r="C2" s="63"/>
      <c r="D2" s="63"/>
      <c r="E2" s="63"/>
      <c r="F2" s="63"/>
      <c r="G2" s="63"/>
    </row>
    <row r="4" spans="2:7" ht="19.5" customHeight="1" x14ac:dyDescent="0.35">
      <c r="B4" s="64" t="s">
        <v>19</v>
      </c>
      <c r="C4" s="64"/>
      <c r="D4" s="64"/>
      <c r="E4" s="64"/>
      <c r="F4" s="64"/>
      <c r="G4" s="64"/>
    </row>
    <row r="6" spans="2:7" ht="25.5" customHeight="1" x14ac:dyDescent="0.35">
      <c r="B6" s="52" t="s">
        <v>20</v>
      </c>
      <c r="C6" s="52"/>
      <c r="D6" s="52"/>
      <c r="E6" s="52"/>
      <c r="F6" s="52"/>
      <c r="G6" s="52"/>
    </row>
    <row r="7" spans="2:7" ht="19.5" customHeight="1" x14ac:dyDescent="0.35">
      <c r="B7" s="50" t="s">
        <v>21</v>
      </c>
      <c r="C7" s="50"/>
      <c r="D7" s="50"/>
      <c r="E7" s="50"/>
      <c r="F7" s="50"/>
      <c r="G7" s="50"/>
    </row>
    <row r="8" spans="2:7" x14ac:dyDescent="0.35">
      <c r="B8" s="1" t="s">
        <v>22</v>
      </c>
      <c r="C8" s="65" t="s">
        <v>23</v>
      </c>
      <c r="D8" s="65"/>
      <c r="E8" s="65"/>
      <c r="F8" s="65"/>
      <c r="G8" s="65"/>
    </row>
    <row r="9" spans="2:7" x14ac:dyDescent="0.35">
      <c r="B9" s="2">
        <v>1</v>
      </c>
      <c r="C9" s="54" t="s">
        <v>24</v>
      </c>
      <c r="D9" s="54"/>
      <c r="E9" s="54"/>
      <c r="F9" s="54"/>
      <c r="G9" s="54"/>
    </row>
    <row r="10" spans="2:7" x14ac:dyDescent="0.35">
      <c r="B10" s="2">
        <v>2</v>
      </c>
      <c r="C10" s="54" t="s">
        <v>25</v>
      </c>
      <c r="D10" s="54"/>
      <c r="E10" s="54"/>
      <c r="F10" s="54"/>
      <c r="G10" s="54"/>
    </row>
    <row r="11" spans="2:7" x14ac:dyDescent="0.35">
      <c r="B11" s="2">
        <v>3</v>
      </c>
      <c r="C11" s="54" t="s">
        <v>26</v>
      </c>
      <c r="D11" s="54"/>
      <c r="E11" s="54"/>
      <c r="F11" s="54"/>
      <c r="G11" s="54"/>
    </row>
    <row r="12" spans="2:7" x14ac:dyDescent="0.35">
      <c r="B12" s="2">
        <v>4</v>
      </c>
      <c r="C12" s="54" t="s">
        <v>27</v>
      </c>
      <c r="D12" s="54"/>
      <c r="E12" s="54"/>
      <c r="F12" s="54"/>
      <c r="G12" s="54"/>
    </row>
    <row r="13" spans="2:7" x14ac:dyDescent="0.35">
      <c r="B13" s="2">
        <v>5</v>
      </c>
      <c r="C13" s="54" t="s">
        <v>28</v>
      </c>
      <c r="D13" s="54"/>
      <c r="E13" s="54"/>
      <c r="F13" s="54"/>
      <c r="G13" s="54"/>
    </row>
    <row r="15" spans="2:7" ht="19.5" customHeight="1" x14ac:dyDescent="0.35">
      <c r="B15" s="58" t="s">
        <v>29</v>
      </c>
      <c r="C15" s="58"/>
      <c r="D15" s="58"/>
      <c r="E15" s="58"/>
      <c r="F15" s="58"/>
      <c r="G15" s="58"/>
    </row>
    <row r="16" spans="2:7" ht="19.5" customHeight="1" x14ac:dyDescent="0.35">
      <c r="B16" s="51" t="s">
        <v>30</v>
      </c>
      <c r="C16" s="51"/>
      <c r="D16" s="51"/>
      <c r="E16" s="51"/>
      <c r="F16" s="51"/>
      <c r="G16" s="51"/>
    </row>
    <row r="17" spans="2:7" ht="19.5" customHeight="1" x14ac:dyDescent="0.35">
      <c r="B17" s="51" t="s">
        <v>31</v>
      </c>
      <c r="C17" s="51"/>
      <c r="D17" s="51"/>
      <c r="E17" s="51"/>
      <c r="F17" s="51"/>
      <c r="G17" s="51"/>
    </row>
    <row r="18" spans="2:7" ht="19.5" customHeight="1" x14ac:dyDescent="0.35">
      <c r="B18" s="51" t="s">
        <v>32</v>
      </c>
      <c r="C18" s="51"/>
      <c r="D18" s="51"/>
      <c r="E18" s="51"/>
      <c r="F18" s="51"/>
      <c r="G18" s="51"/>
    </row>
    <row r="19" spans="2:7" ht="19.5" customHeight="1" x14ac:dyDescent="0.35">
      <c r="B19" s="51" t="s">
        <v>33</v>
      </c>
      <c r="C19" s="51"/>
      <c r="D19" s="51"/>
      <c r="E19" s="51"/>
      <c r="F19" s="51"/>
      <c r="G19" s="51"/>
    </row>
    <row r="20" spans="2:7" ht="19.5" customHeight="1" x14ac:dyDescent="0.35">
      <c r="B20" s="51" t="s">
        <v>34</v>
      </c>
      <c r="C20" s="51"/>
      <c r="D20" s="51"/>
      <c r="E20" s="51"/>
      <c r="F20" s="51"/>
      <c r="G20" s="51"/>
    </row>
    <row r="22" spans="2:7" ht="25.5" customHeight="1" x14ac:dyDescent="0.35">
      <c r="B22" s="52" t="s">
        <v>35</v>
      </c>
      <c r="C22" s="52"/>
      <c r="D22" s="52"/>
      <c r="E22" s="52"/>
      <c r="F22" s="52"/>
      <c r="G22" s="52"/>
    </row>
    <row r="23" spans="2:7" ht="19.5" customHeight="1" x14ac:dyDescent="0.35">
      <c r="B23" s="58" t="s">
        <v>36</v>
      </c>
      <c r="C23" s="58"/>
      <c r="D23" s="58"/>
      <c r="E23" s="58"/>
      <c r="F23" s="58"/>
      <c r="G23" s="58"/>
    </row>
    <row r="25" spans="2:7" ht="19.5" customHeight="1" x14ac:dyDescent="0.35">
      <c r="B25" s="59" t="s">
        <v>37</v>
      </c>
      <c r="C25" s="59"/>
      <c r="D25" s="59"/>
      <c r="E25" s="59"/>
      <c r="F25" s="59"/>
      <c r="G25" s="59"/>
    </row>
    <row r="26" spans="2:7" x14ac:dyDescent="0.35">
      <c r="B26" s="61" t="s">
        <v>38</v>
      </c>
      <c r="C26" s="61"/>
      <c r="D26" s="61"/>
      <c r="E26" s="61"/>
      <c r="F26" s="62" t="s">
        <v>39</v>
      </c>
      <c r="G26" s="62"/>
    </row>
    <row r="27" spans="2:7" x14ac:dyDescent="0.35">
      <c r="B27" s="61" t="s">
        <v>40</v>
      </c>
      <c r="C27" s="61"/>
      <c r="D27" s="61"/>
      <c r="E27" s="61"/>
      <c r="F27" s="62" t="s">
        <v>41</v>
      </c>
      <c r="G27" s="62"/>
    </row>
    <row r="28" spans="2:7" x14ac:dyDescent="0.35">
      <c r="B28" s="61" t="s">
        <v>42</v>
      </c>
      <c r="C28" s="61"/>
      <c r="D28" s="61"/>
      <c r="E28" s="61"/>
      <c r="F28" s="62" t="s">
        <v>43</v>
      </c>
      <c r="G28" s="62"/>
    </row>
    <row r="29" spans="2:7" x14ac:dyDescent="0.35">
      <c r="B29" s="61" t="s">
        <v>44</v>
      </c>
      <c r="C29" s="61"/>
      <c r="D29" s="61"/>
      <c r="E29" s="61"/>
      <c r="F29" s="62" t="s">
        <v>45</v>
      </c>
      <c r="G29" s="62"/>
    </row>
    <row r="30" spans="2:7" x14ac:dyDescent="0.35">
      <c r="B30" s="61" t="s">
        <v>46</v>
      </c>
      <c r="C30" s="61"/>
      <c r="D30" s="61"/>
      <c r="E30" s="61"/>
      <c r="F30" s="62" t="s">
        <v>47</v>
      </c>
      <c r="G30" s="62"/>
    </row>
    <row r="32" spans="2:7" ht="19.5" customHeight="1" x14ac:dyDescent="0.35">
      <c r="B32" s="58" t="s">
        <v>48</v>
      </c>
      <c r="C32" s="58"/>
      <c r="D32" s="58"/>
      <c r="E32" s="58"/>
      <c r="F32" s="58"/>
      <c r="G32" s="58"/>
    </row>
    <row r="33" spans="2:7" x14ac:dyDescent="0.35">
      <c r="B33" s="2">
        <v>1</v>
      </c>
      <c r="C33" s="54" t="s">
        <v>49</v>
      </c>
      <c r="D33" s="54"/>
      <c r="E33" s="54"/>
      <c r="F33" s="54"/>
      <c r="G33" s="54"/>
    </row>
    <row r="34" spans="2:7" x14ac:dyDescent="0.35">
      <c r="B34" s="2">
        <v>3</v>
      </c>
      <c r="C34" s="54" t="s">
        <v>50</v>
      </c>
      <c r="D34" s="54"/>
      <c r="E34" s="54"/>
      <c r="F34" s="54"/>
      <c r="G34" s="54"/>
    </row>
    <row r="35" spans="2:7" x14ac:dyDescent="0.35">
      <c r="B35" s="2">
        <v>5</v>
      </c>
      <c r="C35" s="54" t="s">
        <v>51</v>
      </c>
      <c r="D35" s="54"/>
      <c r="E35" s="54"/>
      <c r="F35" s="54"/>
      <c r="G35" s="54"/>
    </row>
    <row r="37" spans="2:7" ht="19.5" customHeight="1" x14ac:dyDescent="0.35">
      <c r="B37" s="58" t="s">
        <v>52</v>
      </c>
      <c r="C37" s="58"/>
      <c r="D37" s="58"/>
      <c r="E37" s="58"/>
      <c r="F37" s="58"/>
      <c r="G37" s="58"/>
    </row>
    <row r="38" spans="2:7" x14ac:dyDescent="0.35">
      <c r="B38" s="2">
        <v>1</v>
      </c>
      <c r="C38" s="54" t="s">
        <v>53</v>
      </c>
      <c r="D38" s="54"/>
      <c r="E38" s="54"/>
      <c r="F38" s="54"/>
      <c r="G38" s="54"/>
    </row>
    <row r="39" spans="2:7" x14ac:dyDescent="0.35">
      <c r="B39" s="2">
        <v>2</v>
      </c>
      <c r="C39" s="54" t="s">
        <v>54</v>
      </c>
      <c r="D39" s="54"/>
      <c r="E39" s="54"/>
      <c r="F39" s="54"/>
      <c r="G39" s="54"/>
    </row>
    <row r="40" spans="2:7" x14ac:dyDescent="0.35">
      <c r="B40" s="2">
        <v>3</v>
      </c>
      <c r="C40" s="54" t="s">
        <v>55</v>
      </c>
      <c r="D40" s="54"/>
      <c r="E40" s="54"/>
      <c r="F40" s="54"/>
      <c r="G40" s="54"/>
    </row>
    <row r="41" spans="2:7" x14ac:dyDescent="0.35">
      <c r="B41" s="2">
        <v>4</v>
      </c>
      <c r="C41" s="54" t="s">
        <v>56</v>
      </c>
      <c r="D41" s="54"/>
      <c r="E41" s="54"/>
      <c r="F41" s="54"/>
      <c r="G41" s="54"/>
    </row>
    <row r="42" spans="2:7" x14ac:dyDescent="0.35">
      <c r="B42" s="2">
        <v>5</v>
      </c>
      <c r="C42" s="54" t="s">
        <v>57</v>
      </c>
      <c r="D42" s="54"/>
      <c r="E42" s="54"/>
      <c r="F42" s="54"/>
      <c r="G42" s="54"/>
    </row>
    <row r="44" spans="2:7" ht="19.5" customHeight="1" x14ac:dyDescent="0.35">
      <c r="B44" s="58" t="s">
        <v>58</v>
      </c>
      <c r="C44" s="58"/>
      <c r="D44" s="58"/>
      <c r="E44" s="58"/>
      <c r="F44" s="58"/>
      <c r="G44" s="58"/>
    </row>
    <row r="45" spans="2:7" x14ac:dyDescent="0.35">
      <c r="B45" s="2">
        <v>1</v>
      </c>
      <c r="C45" s="54" t="s">
        <v>59</v>
      </c>
      <c r="D45" s="54"/>
      <c r="E45" s="54"/>
      <c r="F45" s="54"/>
      <c r="G45" s="54"/>
    </row>
    <row r="46" spans="2:7" x14ac:dyDescent="0.35">
      <c r="B46" s="2">
        <v>2</v>
      </c>
      <c r="C46" s="54" t="s">
        <v>60</v>
      </c>
      <c r="D46" s="54"/>
      <c r="E46" s="54"/>
      <c r="F46" s="54"/>
      <c r="G46" s="54"/>
    </row>
    <row r="47" spans="2:7" x14ac:dyDescent="0.35">
      <c r="B47" s="2">
        <v>3</v>
      </c>
      <c r="C47" s="54" t="s">
        <v>61</v>
      </c>
      <c r="D47" s="54"/>
      <c r="E47" s="54"/>
      <c r="F47" s="54"/>
      <c r="G47" s="54"/>
    </row>
    <row r="48" spans="2:7" x14ac:dyDescent="0.35">
      <c r="B48" s="2">
        <v>4</v>
      </c>
      <c r="C48" s="54" t="s">
        <v>62</v>
      </c>
      <c r="D48" s="54"/>
      <c r="E48" s="54"/>
      <c r="F48" s="54"/>
      <c r="G48" s="54"/>
    </row>
    <row r="49" spans="2:7" x14ac:dyDescent="0.35">
      <c r="B49" s="2">
        <v>5</v>
      </c>
      <c r="C49" s="54" t="s">
        <v>63</v>
      </c>
      <c r="D49" s="54"/>
      <c r="E49" s="54"/>
      <c r="F49" s="54"/>
      <c r="G49" s="54"/>
    </row>
    <row r="51" spans="2:7" ht="25.5" customHeight="1" x14ac:dyDescent="0.35">
      <c r="B51" s="52" t="s">
        <v>64</v>
      </c>
      <c r="C51" s="52"/>
      <c r="D51" s="52"/>
      <c r="E51" s="52"/>
      <c r="F51" s="52"/>
      <c r="G51" s="52"/>
    </row>
    <row r="52" spans="2:7" ht="19.5" customHeight="1" x14ac:dyDescent="0.35">
      <c r="B52" s="59" t="s">
        <v>65</v>
      </c>
      <c r="C52" s="59"/>
      <c r="D52" s="59"/>
      <c r="E52" s="59"/>
      <c r="F52" s="59"/>
      <c r="G52" s="59"/>
    </row>
    <row r="53" spans="2:7" ht="19.5" customHeight="1" x14ac:dyDescent="0.35">
      <c r="B53" s="60" t="s">
        <v>66</v>
      </c>
      <c r="C53" s="60"/>
      <c r="D53" s="60"/>
      <c r="E53" s="60"/>
      <c r="F53" s="60"/>
      <c r="G53" s="60"/>
    </row>
    <row r="55" spans="2:7" ht="25.5" customHeight="1" x14ac:dyDescent="0.35">
      <c r="B55" s="52" t="s">
        <v>67</v>
      </c>
      <c r="C55" s="52"/>
      <c r="D55" s="52"/>
      <c r="E55" s="52"/>
      <c r="F55" s="52"/>
      <c r="G55" s="52"/>
    </row>
    <row r="56" spans="2:7" x14ac:dyDescent="0.35">
      <c r="B56" s="53" t="s">
        <v>68</v>
      </c>
      <c r="C56" s="53"/>
      <c r="D56" s="53"/>
      <c r="E56" s="54" t="s">
        <v>69</v>
      </c>
      <c r="F56" s="54"/>
      <c r="G56" s="54"/>
    </row>
    <row r="57" spans="2:7" x14ac:dyDescent="0.35">
      <c r="B57" s="55" t="s">
        <v>70</v>
      </c>
      <c r="C57" s="55"/>
      <c r="D57" s="55"/>
      <c r="E57" s="54" t="s">
        <v>71</v>
      </c>
      <c r="F57" s="54"/>
      <c r="G57" s="54"/>
    </row>
    <row r="58" spans="2:7" x14ac:dyDescent="0.35">
      <c r="B58" s="56" t="s">
        <v>72</v>
      </c>
      <c r="C58" s="56"/>
      <c r="D58" s="56"/>
      <c r="E58" s="54" t="s">
        <v>73</v>
      </c>
      <c r="F58" s="54"/>
      <c r="G58" s="54"/>
    </row>
    <row r="59" spans="2:7" x14ac:dyDescent="0.35">
      <c r="B59" s="57" t="s">
        <v>74</v>
      </c>
      <c r="C59" s="57"/>
      <c r="D59" s="57"/>
      <c r="E59" s="54" t="s">
        <v>75</v>
      </c>
      <c r="F59" s="54"/>
      <c r="G59" s="54"/>
    </row>
    <row r="62" spans="2:7" ht="25.5" customHeight="1" x14ac:dyDescent="0.35">
      <c r="B62" s="52" t="s">
        <v>76</v>
      </c>
      <c r="C62" s="52"/>
      <c r="D62" s="52"/>
      <c r="E62" s="52"/>
      <c r="F62" s="52"/>
      <c r="G62" s="52"/>
    </row>
    <row r="63" spans="2:7" ht="19.5" customHeight="1" x14ac:dyDescent="0.35">
      <c r="B63" s="50" t="s">
        <v>77</v>
      </c>
      <c r="C63" s="50"/>
      <c r="D63" s="50"/>
      <c r="E63" s="50"/>
      <c r="F63" s="50"/>
      <c r="G63" s="50"/>
    </row>
    <row r="64" spans="2:7" ht="19.5" customHeight="1" x14ac:dyDescent="0.35">
      <c r="B64" s="51" t="s">
        <v>78</v>
      </c>
      <c r="C64" s="51"/>
      <c r="D64" s="51"/>
      <c r="E64" s="51"/>
      <c r="F64" s="51"/>
      <c r="G64" s="51"/>
    </row>
    <row r="65" spans="2:7" ht="19.5" customHeight="1" x14ac:dyDescent="0.35">
      <c r="B65" s="51" t="s">
        <v>79</v>
      </c>
      <c r="C65" s="51"/>
      <c r="D65" s="51"/>
      <c r="E65" s="51"/>
      <c r="F65" s="51"/>
      <c r="G65" s="51"/>
    </row>
    <row r="66" spans="2:7" ht="19.5" customHeight="1" x14ac:dyDescent="0.35">
      <c r="B66" s="51" t="s">
        <v>80</v>
      </c>
      <c r="C66" s="51"/>
      <c r="D66" s="51"/>
      <c r="E66" s="51"/>
      <c r="F66" s="51"/>
      <c r="G66" s="51"/>
    </row>
    <row r="67" spans="2:7" ht="19.5" customHeight="1" x14ac:dyDescent="0.35">
      <c r="B67" s="51" t="s">
        <v>81</v>
      </c>
      <c r="C67" s="51"/>
      <c r="D67" s="51"/>
      <c r="E67" s="51"/>
      <c r="F67" s="51"/>
      <c r="G67" s="51"/>
    </row>
    <row r="69" spans="2:7" ht="25.5" customHeight="1" x14ac:dyDescent="0.35">
      <c r="B69" s="52" t="s">
        <v>82</v>
      </c>
      <c r="C69" s="52"/>
      <c r="D69" s="52"/>
      <c r="E69" s="52"/>
      <c r="F69" s="52"/>
      <c r="G69" s="52"/>
    </row>
    <row r="70" spans="2:7" ht="19.5" customHeight="1" x14ac:dyDescent="0.35">
      <c r="B70" s="50" t="s">
        <v>83</v>
      </c>
      <c r="C70" s="50"/>
      <c r="D70" s="50"/>
      <c r="E70" s="50"/>
      <c r="F70" s="50"/>
      <c r="G70" s="50"/>
    </row>
    <row r="71" spans="2:7" ht="19.5" customHeight="1" x14ac:dyDescent="0.35">
      <c r="B71" s="50" t="s">
        <v>84</v>
      </c>
      <c r="C71" s="50"/>
      <c r="D71" s="50"/>
      <c r="E71" s="50"/>
      <c r="F71" s="50"/>
      <c r="G71" s="50"/>
    </row>
    <row r="72" spans="2:7" ht="19.5" customHeight="1" x14ac:dyDescent="0.35">
      <c r="B72" s="50" t="s">
        <v>85</v>
      </c>
      <c r="C72" s="50"/>
      <c r="D72" s="50"/>
      <c r="E72" s="50"/>
      <c r="F72" s="50"/>
      <c r="G72" s="50"/>
    </row>
    <row r="73" spans="2:7" ht="19.5" customHeight="1" x14ac:dyDescent="0.35">
      <c r="B73" s="50" t="s">
        <v>86</v>
      </c>
      <c r="C73" s="50"/>
      <c r="D73" s="50"/>
      <c r="E73" s="50"/>
      <c r="F73" s="50"/>
      <c r="G73" s="50"/>
    </row>
    <row r="74" spans="2:7" ht="19.5" customHeight="1" x14ac:dyDescent="0.35">
      <c r="B74" s="50" t="s">
        <v>87</v>
      </c>
      <c r="C74" s="50"/>
      <c r="D74" s="50"/>
      <c r="E74" s="50"/>
      <c r="F74" s="50"/>
      <c r="G74" s="50"/>
    </row>
    <row r="75" spans="2:7" ht="19.5" customHeight="1" x14ac:dyDescent="0.35">
      <c r="B75" s="50" t="s">
        <v>88</v>
      </c>
      <c r="C75" s="50"/>
      <c r="D75" s="50"/>
      <c r="E75" s="50"/>
      <c r="F75" s="50"/>
      <c r="G75" s="50"/>
    </row>
    <row r="76" spans="2:7" ht="19.5" customHeight="1" x14ac:dyDescent="0.35">
      <c r="B76" s="50"/>
      <c r="C76" s="50"/>
      <c r="D76" s="50"/>
      <c r="E76" s="50"/>
      <c r="F76" s="50"/>
      <c r="G76" s="50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showGridLines="0" tabSelected="1" zoomScale="99" zoomScaleNormal="99" workbookViewId="0">
      <pane xSplit="4" ySplit="2" topLeftCell="M11" activePane="bottomRight" state="frozen"/>
      <selection pane="topRight" activeCell="E1" sqref="E1"/>
      <selection pane="bottomLeft" activeCell="A4" sqref="A4"/>
      <selection pane="bottomRight" activeCell="A20" sqref="A20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</cols>
  <sheetData>
    <row r="1" spans="1:18" ht="31.5" customHeight="1" x14ac:dyDescent="0.35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5"/>
    </row>
    <row r="2" spans="1:18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</row>
    <row r="3" spans="1:18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8" ca="1" si="1">IF(OR(I3="",J3="",K3="",G3=""),"",ROUND(G3*0.2+I3*0.3+J3*0.3+K3*0.2,2))</f>
        <v>2.2999999999999998</v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</row>
    <row r="4" spans="1:18" s="14" customFormat="1" ht="21.75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</row>
    <row r="5" spans="1:18" s="14" customFormat="1" ht="21.75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</row>
    <row r="6" spans="1:18" s="14" customFormat="1" ht="21.75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</row>
    <row r="7" spans="1:18" s="14" customFormat="1" ht="21.75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</row>
    <row r="8" spans="1:18" s="14" customFormat="1" ht="21.75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</row>
    <row r="9" spans="1:18" s="14" customFormat="1" ht="21.75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</row>
    <row r="10" spans="1:18" s="14" customFormat="1" ht="21.75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</row>
    <row r="11" spans="1:18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287</v>
      </c>
      <c r="Q11" s="28"/>
      <c r="R11" s="27" t="s">
        <v>117</v>
      </c>
    </row>
    <row r="12" spans="1:18" s="14" customFormat="1" ht="21.75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</row>
    <row r="13" spans="1:18" s="26" customFormat="1" ht="21.75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</row>
    <row r="14" spans="1:18" s="26" customFormat="1" ht="21.75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</row>
    <row r="15" spans="1:18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 t="s">
        <v>143</v>
      </c>
      <c r="O15" s="33" t="s">
        <v>252</v>
      </c>
      <c r="P15" s="33" t="s">
        <v>258</v>
      </c>
      <c r="Q15" s="33"/>
      <c r="R15" s="32" t="s">
        <v>122</v>
      </c>
    </row>
    <row r="16" spans="1:18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4" t="s">
        <v>151</v>
      </c>
      <c r="O16" s="40" t="s">
        <v>252</v>
      </c>
      <c r="P16" s="40" t="s">
        <v>259</v>
      </c>
      <c r="Q16" s="40"/>
      <c r="R16" s="39" t="s">
        <v>122</v>
      </c>
    </row>
    <row r="17" spans="1:18" s="38" customFormat="1" ht="21.75" customHeight="1" x14ac:dyDescent="0.35">
      <c r="A17" s="39">
        <v>246004</v>
      </c>
      <c r="B17" s="40" t="s">
        <v>125</v>
      </c>
      <c r="C17" s="40" t="s">
        <v>126</v>
      </c>
      <c r="D17" s="40" t="s">
        <v>90</v>
      </c>
      <c r="E17" s="41">
        <v>28270</v>
      </c>
      <c r="F17" s="42">
        <f t="shared" ref="F17" ca="1" si="6">DATEDIF(E17,TODAY(),"Y")</f>
        <v>49</v>
      </c>
      <c r="G17" s="42">
        <f t="shared" ref="G17" ca="1" si="7">IF(F17="","",IF(F17&lt;50,1,IF(F17&lt;55,2,IF(F17&lt;58,3,IF(F17&lt;60,4,5)))))</f>
        <v>1</v>
      </c>
      <c r="H17" s="36">
        <v>4</v>
      </c>
      <c r="I17" s="36">
        <v>1</v>
      </c>
      <c r="J17" s="36">
        <v>3</v>
      </c>
      <c r="K17" s="36">
        <v>4</v>
      </c>
      <c r="L17" s="43">
        <f t="shared" ref="L17" ca="1" si="8">IF(OR(I17="",J17="",K17="",G17=""),"",ROUND(G17*0.2+I17*0.3+J17*0.3+K17*0.2,2))</f>
        <v>2.2000000000000002</v>
      </c>
      <c r="M17" s="43" t="str">
        <f t="shared" ref="M17" ca="1" si="9">IF(OR(H17="",L17=""),"",IF(AND(H17&gt;=4,L17&gt;=3.5),"High Impact + High Risk",IF(AND(H17&gt;=4,L17&lt;3.5),"High Impact + Low Risk",IF(AND(H17&lt;4,L17&gt;=3.5),"Low Impact + High Risk","Low Impact + Low Risk"))))</f>
        <v>High Impact + Low Risk</v>
      </c>
      <c r="N17" s="44" t="s">
        <v>154</v>
      </c>
      <c r="O17" s="40" t="s">
        <v>252</v>
      </c>
      <c r="P17" s="40" t="s">
        <v>259</v>
      </c>
      <c r="Q17" s="40"/>
      <c r="R17" s="39" t="s">
        <v>122</v>
      </c>
    </row>
    <row r="18" spans="1:18" s="14" customFormat="1" ht="21.75" customHeight="1" x14ac:dyDescent="0.35">
      <c r="A18" s="7">
        <v>242032</v>
      </c>
      <c r="B18" s="9" t="s">
        <v>127</v>
      </c>
      <c r="C18" s="9" t="s">
        <v>250</v>
      </c>
      <c r="D18" s="9" t="s">
        <v>90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R18" s="7" t="s">
        <v>122</v>
      </c>
    </row>
    <row r="19" spans="1:18" s="14" customFormat="1" ht="21.75" customHeight="1" x14ac:dyDescent="0.35">
      <c r="A19" s="8">
        <v>149024</v>
      </c>
      <c r="B19" s="15" t="s">
        <v>128</v>
      </c>
      <c r="C19" s="15" t="s">
        <v>129</v>
      </c>
      <c r="D19" s="15" t="s">
        <v>90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 t="s">
        <v>167</v>
      </c>
      <c r="O19" s="15" t="s">
        <v>252</v>
      </c>
      <c r="P19" s="15"/>
      <c r="Q19" s="15"/>
      <c r="R19" s="8" t="s">
        <v>122</v>
      </c>
    </row>
    <row r="20" spans="1:18" s="14" customFormat="1" ht="21.75" customHeight="1" x14ac:dyDescent="0.35">
      <c r="A20" s="7">
        <v>232027</v>
      </c>
      <c r="B20" s="9" t="s">
        <v>130</v>
      </c>
      <c r="C20" s="9" t="s">
        <v>131</v>
      </c>
      <c r="D20" s="9" t="s">
        <v>90</v>
      </c>
      <c r="E20" s="10">
        <v>24838</v>
      </c>
      <c r="F20" s="11">
        <f t="shared" ca="1" si="3"/>
        <v>58</v>
      </c>
      <c r="G20" s="11">
        <f t="shared" ca="1" si="0"/>
        <v>4</v>
      </c>
      <c r="H20" s="12">
        <v>3</v>
      </c>
      <c r="I20" s="12">
        <v>1</v>
      </c>
      <c r="J20" s="12">
        <v>4</v>
      </c>
      <c r="K20" s="12">
        <v>4</v>
      </c>
      <c r="L20" s="13">
        <f t="shared" ca="1" si="1"/>
        <v>3.1</v>
      </c>
      <c r="M20" s="13" t="str">
        <f t="shared" ca="1" si="2"/>
        <v>Low Impact + Low Risk</v>
      </c>
      <c r="N20" s="9"/>
      <c r="O20" s="9"/>
      <c r="P20" s="9"/>
      <c r="Q20" s="9"/>
      <c r="R20" s="7" t="s">
        <v>122</v>
      </c>
    </row>
    <row r="21" spans="1:18" s="14" customFormat="1" ht="21.75" customHeight="1" x14ac:dyDescent="0.35">
      <c r="A21" s="8">
        <v>256029</v>
      </c>
      <c r="B21" s="15" t="s">
        <v>132</v>
      </c>
      <c r="C21" s="15" t="s">
        <v>133</v>
      </c>
      <c r="D21" s="15" t="s">
        <v>90</v>
      </c>
      <c r="E21" s="16">
        <v>31119</v>
      </c>
      <c r="F21" s="17">
        <f t="shared" ca="1" si="3"/>
        <v>41</v>
      </c>
      <c r="G21" s="17">
        <f t="shared" ca="1" si="0"/>
        <v>1</v>
      </c>
      <c r="H21" s="12">
        <v>3</v>
      </c>
      <c r="I21" s="12">
        <v>1</v>
      </c>
      <c r="J21" s="12">
        <v>3</v>
      </c>
      <c r="K21" s="12">
        <v>3</v>
      </c>
      <c r="L21" s="18">
        <f t="shared" ca="1" si="1"/>
        <v>2</v>
      </c>
      <c r="M21" s="18" t="str">
        <f t="shared" ca="1" si="2"/>
        <v>Low Impact + Low Risk</v>
      </c>
      <c r="N21" s="15"/>
      <c r="O21" s="15"/>
      <c r="P21" s="15"/>
      <c r="Q21" s="15"/>
      <c r="R21" s="8" t="s">
        <v>122</v>
      </c>
    </row>
    <row r="22" spans="1:18" s="14" customFormat="1" ht="21.75" customHeight="1" x14ac:dyDescent="0.35">
      <c r="A22" s="7">
        <v>236012</v>
      </c>
      <c r="B22" s="9" t="s">
        <v>134</v>
      </c>
      <c r="C22" s="9" t="s">
        <v>135</v>
      </c>
      <c r="D22" s="9" t="s">
        <v>90</v>
      </c>
      <c r="E22" s="10">
        <v>26421</v>
      </c>
      <c r="F22" s="11">
        <f t="shared" ca="1" si="3"/>
        <v>54</v>
      </c>
      <c r="G22" s="11">
        <f t="shared" ca="1" si="0"/>
        <v>2</v>
      </c>
      <c r="H22" s="12">
        <v>3</v>
      </c>
      <c r="I22" s="12">
        <v>1</v>
      </c>
      <c r="J22" s="12">
        <v>3</v>
      </c>
      <c r="K22" s="12">
        <v>3</v>
      </c>
      <c r="L22" s="13">
        <f t="shared" ca="1" si="1"/>
        <v>2.2000000000000002</v>
      </c>
      <c r="M22" s="13" t="str">
        <f t="shared" ca="1" si="2"/>
        <v>Low Impact + Low Risk</v>
      </c>
      <c r="N22" s="9"/>
      <c r="O22" s="9"/>
      <c r="P22" s="9"/>
      <c r="Q22" s="9"/>
      <c r="R22" s="7" t="s">
        <v>122</v>
      </c>
    </row>
    <row r="23" spans="1:18" s="38" customFormat="1" ht="21.75" customHeight="1" x14ac:dyDescent="0.35">
      <c r="A23" s="39">
        <v>250042</v>
      </c>
      <c r="B23" s="40" t="s">
        <v>136</v>
      </c>
      <c r="C23" s="40" t="s">
        <v>137</v>
      </c>
      <c r="D23" s="40" t="s">
        <v>90</v>
      </c>
      <c r="E23" s="41">
        <v>26738</v>
      </c>
      <c r="F23" s="42">
        <f t="shared" ca="1" si="3"/>
        <v>53</v>
      </c>
      <c r="G23" s="42">
        <f t="shared" ca="1" si="0"/>
        <v>2</v>
      </c>
      <c r="H23" s="36">
        <v>4</v>
      </c>
      <c r="I23" s="36">
        <v>1</v>
      </c>
      <c r="J23" s="36">
        <v>4</v>
      </c>
      <c r="K23" s="36">
        <v>4</v>
      </c>
      <c r="L23" s="43">
        <f t="shared" ca="1" si="1"/>
        <v>2.7</v>
      </c>
      <c r="M23" s="43" t="str">
        <f t="shared" ca="1" si="2"/>
        <v>High Impact + Low Risk</v>
      </c>
      <c r="N23" s="40" t="s">
        <v>289</v>
      </c>
      <c r="O23" s="40" t="s">
        <v>252</v>
      </c>
      <c r="P23" s="40" t="s">
        <v>260</v>
      </c>
      <c r="Q23" s="40"/>
      <c r="R23" s="39" t="s">
        <v>122</v>
      </c>
    </row>
    <row r="24" spans="1:18" s="14" customFormat="1" ht="21.75" customHeight="1" x14ac:dyDescent="0.35">
      <c r="A24" s="7">
        <v>233034</v>
      </c>
      <c r="B24" s="9" t="s">
        <v>138</v>
      </c>
      <c r="C24" s="9" t="s">
        <v>139</v>
      </c>
      <c r="D24" s="9" t="s">
        <v>90</v>
      </c>
      <c r="E24" s="10">
        <v>25245</v>
      </c>
      <c r="F24" s="11">
        <f t="shared" ca="1" si="3"/>
        <v>57</v>
      </c>
      <c r="G24" s="11">
        <f t="shared" ca="1" si="0"/>
        <v>3</v>
      </c>
      <c r="H24" s="12">
        <v>3</v>
      </c>
      <c r="I24" s="12">
        <v>1</v>
      </c>
      <c r="J24" s="12">
        <v>3</v>
      </c>
      <c r="K24" s="12">
        <v>4</v>
      </c>
      <c r="L24" s="13">
        <f t="shared" ca="1" si="1"/>
        <v>2.6</v>
      </c>
      <c r="M24" s="13" t="str">
        <f t="shared" ca="1" si="2"/>
        <v>Low Impact + Low Risk</v>
      </c>
      <c r="N24" s="9"/>
      <c r="O24" s="9"/>
      <c r="P24" s="9"/>
      <c r="Q24" s="9"/>
      <c r="R24" s="7" t="s">
        <v>122</v>
      </c>
    </row>
    <row r="25" spans="1:18" s="14" customFormat="1" ht="21.75" customHeight="1" x14ac:dyDescent="0.35">
      <c r="A25" s="8">
        <v>268013</v>
      </c>
      <c r="B25" s="15" t="s">
        <v>140</v>
      </c>
      <c r="C25" s="15" t="s">
        <v>251</v>
      </c>
      <c r="D25" s="15" t="s">
        <v>90</v>
      </c>
      <c r="E25" s="16">
        <v>29244</v>
      </c>
      <c r="F25" s="17">
        <f t="shared" ca="1" si="3"/>
        <v>46</v>
      </c>
      <c r="G25" s="17">
        <f t="shared" ca="1" si="0"/>
        <v>1</v>
      </c>
      <c r="H25" s="12">
        <v>3</v>
      </c>
      <c r="I25" s="12">
        <v>3</v>
      </c>
      <c r="J25" s="12">
        <v>3</v>
      </c>
      <c r="K25" s="12">
        <v>4</v>
      </c>
      <c r="L25" s="18">
        <f t="shared" ca="1" si="1"/>
        <v>2.8</v>
      </c>
      <c r="M25" s="18" t="str">
        <f t="shared" ca="1" si="2"/>
        <v>Low Impact + Low Risk</v>
      </c>
      <c r="N25" s="15"/>
      <c r="O25" s="15"/>
      <c r="P25" s="15"/>
      <c r="Q25" s="15"/>
      <c r="R25" s="8" t="s">
        <v>122</v>
      </c>
    </row>
    <row r="26" spans="1:18" s="14" customFormat="1" ht="21.75" customHeight="1" x14ac:dyDescent="0.35">
      <c r="A26" s="7">
        <v>249010</v>
      </c>
      <c r="B26" s="9" t="s">
        <v>141</v>
      </c>
      <c r="C26" s="9" t="s">
        <v>142</v>
      </c>
      <c r="D26" s="9" t="s">
        <v>90</v>
      </c>
      <c r="E26" s="10">
        <v>27467</v>
      </c>
      <c r="F26" s="11">
        <f t="shared" ca="1" si="3"/>
        <v>51</v>
      </c>
      <c r="G26" s="11">
        <f t="shared" ca="1" si="0"/>
        <v>2</v>
      </c>
      <c r="H26" s="12">
        <v>3</v>
      </c>
      <c r="I26" s="12">
        <v>1</v>
      </c>
      <c r="J26" s="12">
        <v>4</v>
      </c>
      <c r="K26" s="12">
        <v>4</v>
      </c>
      <c r="L26" s="13">
        <f t="shared" ca="1" si="1"/>
        <v>2.7</v>
      </c>
      <c r="M26" s="13" t="str">
        <f t="shared" ca="1" si="2"/>
        <v>Low Impact + Low Risk</v>
      </c>
      <c r="N26" s="9"/>
      <c r="O26" s="9"/>
      <c r="P26" s="9"/>
      <c r="Q26" s="9"/>
      <c r="R26" s="7" t="s">
        <v>122</v>
      </c>
    </row>
    <row r="27" spans="1:18" s="14" customFormat="1" ht="21.75" customHeight="1" x14ac:dyDescent="0.35">
      <c r="A27" s="8">
        <v>268012</v>
      </c>
      <c r="B27" s="15" t="s">
        <v>143</v>
      </c>
      <c r="C27" s="15" t="s">
        <v>144</v>
      </c>
      <c r="D27" s="15" t="s">
        <v>90</v>
      </c>
      <c r="E27" s="16">
        <v>31704</v>
      </c>
      <c r="F27" s="17">
        <f t="shared" ca="1" si="3"/>
        <v>40</v>
      </c>
      <c r="G27" s="17">
        <f t="shared" ca="1" si="0"/>
        <v>1</v>
      </c>
      <c r="H27" s="12">
        <v>3</v>
      </c>
      <c r="I27" s="12">
        <v>5</v>
      </c>
      <c r="J27" s="12">
        <v>4</v>
      </c>
      <c r="K27" s="12">
        <v>4</v>
      </c>
      <c r="L27" s="18">
        <f t="shared" ca="1" si="1"/>
        <v>3.7</v>
      </c>
      <c r="M27" s="18" t="str">
        <f t="shared" ca="1" si="2"/>
        <v>Low Impact + High Risk</v>
      </c>
      <c r="N27" s="15"/>
      <c r="O27" s="15"/>
      <c r="P27" s="15"/>
      <c r="Q27" s="15"/>
      <c r="R27" s="8" t="s">
        <v>122</v>
      </c>
    </row>
    <row r="28" spans="1:18" s="14" customFormat="1" ht="21.75" customHeight="1" x14ac:dyDescent="0.35">
      <c r="A28" s="7">
        <v>238030</v>
      </c>
      <c r="B28" s="9" t="s">
        <v>145</v>
      </c>
      <c r="C28" s="9" t="s">
        <v>146</v>
      </c>
      <c r="D28" s="9" t="s">
        <v>90</v>
      </c>
      <c r="E28" s="10">
        <v>27404</v>
      </c>
      <c r="F28" s="11">
        <f t="shared" ca="1" si="3"/>
        <v>51</v>
      </c>
      <c r="G28" s="11">
        <f t="shared" ca="1" si="0"/>
        <v>2</v>
      </c>
      <c r="H28" s="12">
        <v>3</v>
      </c>
      <c r="I28" s="12">
        <v>1</v>
      </c>
      <c r="J28" s="12">
        <v>3</v>
      </c>
      <c r="K28" s="12">
        <v>4</v>
      </c>
      <c r="L28" s="13">
        <f t="shared" ca="1" si="1"/>
        <v>2.4</v>
      </c>
      <c r="M28" s="13" t="str">
        <f t="shared" ca="1" si="2"/>
        <v>Low Impact + Low Risk</v>
      </c>
      <c r="N28" s="9"/>
      <c r="O28" s="9"/>
      <c r="P28" s="9"/>
      <c r="Q28" s="9"/>
      <c r="R28" s="7" t="s">
        <v>122</v>
      </c>
    </row>
    <row r="29" spans="1:18" s="38" customFormat="1" ht="21.75" customHeight="1" x14ac:dyDescent="0.35">
      <c r="A29" s="39">
        <v>256014</v>
      </c>
      <c r="B29" s="40" t="s">
        <v>147</v>
      </c>
      <c r="C29" s="40" t="s">
        <v>148</v>
      </c>
      <c r="D29" s="40" t="s">
        <v>90</v>
      </c>
      <c r="E29" s="41">
        <v>32349</v>
      </c>
      <c r="F29" s="42">
        <f t="shared" ca="1" si="3"/>
        <v>38</v>
      </c>
      <c r="G29" s="42">
        <f t="shared" ca="1" si="0"/>
        <v>1</v>
      </c>
      <c r="H29" s="36">
        <v>4</v>
      </c>
      <c r="I29" s="36">
        <v>1</v>
      </c>
      <c r="J29" s="36">
        <v>4</v>
      </c>
      <c r="K29" s="36">
        <v>4</v>
      </c>
      <c r="L29" s="43">
        <f t="shared" ca="1" si="1"/>
        <v>2.5</v>
      </c>
      <c r="M29" s="43" t="str">
        <f t="shared" ca="1" si="2"/>
        <v>High Impact + Low Risk</v>
      </c>
      <c r="N29" s="40"/>
      <c r="O29" s="40"/>
      <c r="P29" s="40" t="s">
        <v>261</v>
      </c>
      <c r="Q29" s="40"/>
      <c r="R29" s="39" t="s">
        <v>122</v>
      </c>
    </row>
    <row r="30" spans="1:18" s="38" customFormat="1" ht="21.75" customHeight="1" x14ac:dyDescent="0.35">
      <c r="A30" s="32">
        <v>443003</v>
      </c>
      <c r="B30" s="33" t="s">
        <v>149</v>
      </c>
      <c r="C30" s="33" t="s">
        <v>150</v>
      </c>
      <c r="D30" s="33" t="s">
        <v>90</v>
      </c>
      <c r="E30" s="34">
        <v>28572</v>
      </c>
      <c r="F30" s="35">
        <f t="shared" ca="1" si="3"/>
        <v>48</v>
      </c>
      <c r="G30" s="35">
        <f t="shared" ca="1" si="0"/>
        <v>1</v>
      </c>
      <c r="H30" s="36">
        <v>4</v>
      </c>
      <c r="I30" s="36">
        <v>1</v>
      </c>
      <c r="J30" s="36">
        <v>4</v>
      </c>
      <c r="K30" s="36">
        <v>5</v>
      </c>
      <c r="L30" s="37">
        <f t="shared" ca="1" si="1"/>
        <v>2.7</v>
      </c>
      <c r="M30" s="37" t="str">
        <f t="shared" ca="1" si="2"/>
        <v>High Impact + Low Risk</v>
      </c>
      <c r="N30" s="33"/>
      <c r="O30" s="33"/>
      <c r="P30" s="33" t="s">
        <v>262</v>
      </c>
      <c r="Q30" s="33"/>
      <c r="R30" s="32" t="s">
        <v>122</v>
      </c>
    </row>
    <row r="31" spans="1:18" s="38" customFormat="1" ht="21.75" customHeight="1" x14ac:dyDescent="0.35">
      <c r="A31" s="39">
        <v>254057</v>
      </c>
      <c r="B31" s="40" t="s">
        <v>151</v>
      </c>
      <c r="C31" s="40" t="s">
        <v>152</v>
      </c>
      <c r="D31" s="40" t="s">
        <v>90</v>
      </c>
      <c r="E31" s="41">
        <v>32420</v>
      </c>
      <c r="F31" s="42">
        <f t="shared" ca="1" si="3"/>
        <v>38</v>
      </c>
      <c r="G31" s="42">
        <f t="shared" ca="1" si="0"/>
        <v>1</v>
      </c>
      <c r="H31" s="36">
        <v>4</v>
      </c>
      <c r="I31" s="36">
        <v>1</v>
      </c>
      <c r="J31" s="36">
        <v>4</v>
      </c>
      <c r="K31" s="36">
        <v>4</v>
      </c>
      <c r="L31" s="43">
        <f t="shared" ca="1" si="1"/>
        <v>2.5</v>
      </c>
      <c r="M31" s="43" t="str">
        <f t="shared" ca="1" si="2"/>
        <v>High Impact + Low Risk</v>
      </c>
      <c r="N31" s="40"/>
      <c r="O31" s="40"/>
      <c r="P31" s="40" t="s">
        <v>263</v>
      </c>
      <c r="Q31" s="40"/>
      <c r="R31" s="39" t="s">
        <v>122</v>
      </c>
    </row>
    <row r="32" spans="1:18" s="38" customFormat="1" ht="21.75" customHeight="1" x14ac:dyDescent="0.35">
      <c r="A32" s="32">
        <v>237011</v>
      </c>
      <c r="B32" s="33" t="s">
        <v>153</v>
      </c>
      <c r="C32" s="33" t="s">
        <v>150</v>
      </c>
      <c r="D32" s="33" t="s">
        <v>90</v>
      </c>
      <c r="E32" s="34">
        <v>25410</v>
      </c>
      <c r="F32" s="35">
        <f t="shared" ca="1" si="3"/>
        <v>57</v>
      </c>
      <c r="G32" s="35">
        <f t="shared" ca="1" si="0"/>
        <v>3</v>
      </c>
      <c r="H32" s="36">
        <v>4</v>
      </c>
      <c r="I32" s="36">
        <v>1</v>
      </c>
      <c r="J32" s="36">
        <v>4</v>
      </c>
      <c r="K32" s="36">
        <v>5</v>
      </c>
      <c r="L32" s="37">
        <f t="shared" ca="1" si="1"/>
        <v>3.1</v>
      </c>
      <c r="M32" s="37" t="str">
        <f t="shared" ca="1" si="2"/>
        <v>High Impact + Low Risk</v>
      </c>
      <c r="N32" s="33"/>
      <c r="O32" s="33"/>
      <c r="P32" s="33" t="s">
        <v>262</v>
      </c>
      <c r="Q32" s="33"/>
      <c r="R32" s="32" t="s">
        <v>122</v>
      </c>
    </row>
    <row r="33" spans="1:18" s="38" customFormat="1" ht="21.75" customHeight="1" x14ac:dyDescent="0.35">
      <c r="A33" s="39">
        <v>267096</v>
      </c>
      <c r="B33" s="40" t="s">
        <v>154</v>
      </c>
      <c r="C33" s="40" t="s">
        <v>155</v>
      </c>
      <c r="D33" s="40" t="s">
        <v>90</v>
      </c>
      <c r="E33" s="41">
        <v>32140</v>
      </c>
      <c r="F33" s="42">
        <f t="shared" ca="1" si="3"/>
        <v>38</v>
      </c>
      <c r="G33" s="42">
        <f t="shared" ca="1" si="0"/>
        <v>1</v>
      </c>
      <c r="H33" s="36">
        <v>4</v>
      </c>
      <c r="I33" s="36">
        <v>3</v>
      </c>
      <c r="J33" s="36">
        <v>4</v>
      </c>
      <c r="K33" s="36">
        <v>4</v>
      </c>
      <c r="L33" s="43">
        <f t="shared" ca="1" si="1"/>
        <v>3.1</v>
      </c>
      <c r="M33" s="43" t="str">
        <f t="shared" ca="1" si="2"/>
        <v>High Impact + Low Risk</v>
      </c>
      <c r="N33" s="40"/>
      <c r="O33" s="40"/>
      <c r="P33" s="40" t="s">
        <v>264</v>
      </c>
      <c r="Q33" s="40"/>
      <c r="R33" s="39" t="s">
        <v>122</v>
      </c>
    </row>
    <row r="34" spans="1:18" s="38" customFormat="1" ht="21.75" customHeight="1" x14ac:dyDescent="0.35">
      <c r="A34" s="32">
        <v>249048</v>
      </c>
      <c r="B34" s="33" t="s">
        <v>156</v>
      </c>
      <c r="C34" s="33" t="s">
        <v>150</v>
      </c>
      <c r="D34" s="33" t="s">
        <v>90</v>
      </c>
      <c r="E34" s="34">
        <v>29299</v>
      </c>
      <c r="F34" s="35">
        <f t="shared" ca="1" si="3"/>
        <v>46</v>
      </c>
      <c r="G34" s="35">
        <f t="shared" ca="1" si="0"/>
        <v>1</v>
      </c>
      <c r="H34" s="36">
        <v>4</v>
      </c>
      <c r="I34" s="36">
        <v>1</v>
      </c>
      <c r="J34" s="36">
        <v>4</v>
      </c>
      <c r="K34" s="36">
        <v>5</v>
      </c>
      <c r="L34" s="37">
        <f t="shared" ca="1" si="1"/>
        <v>2.7</v>
      </c>
      <c r="M34" s="37" t="str">
        <f t="shared" ca="1" si="2"/>
        <v>High Impact + Low Risk</v>
      </c>
      <c r="N34" s="33"/>
      <c r="O34" s="33"/>
      <c r="P34" s="33" t="s">
        <v>262</v>
      </c>
      <c r="Q34" s="33"/>
      <c r="R34" s="32" t="s">
        <v>122</v>
      </c>
    </row>
    <row r="35" spans="1:18" s="38" customFormat="1" ht="21.75" customHeight="1" x14ac:dyDescent="0.35">
      <c r="A35" s="39">
        <v>269022</v>
      </c>
      <c r="B35" s="40" t="s">
        <v>157</v>
      </c>
      <c r="C35" s="40" t="s">
        <v>158</v>
      </c>
      <c r="D35" s="40" t="s">
        <v>90</v>
      </c>
      <c r="E35" s="41">
        <v>30852</v>
      </c>
      <c r="F35" s="42">
        <f t="shared" ca="1" si="3"/>
        <v>42</v>
      </c>
      <c r="G35" s="42">
        <f t="shared" ca="1" si="0"/>
        <v>1</v>
      </c>
      <c r="H35" s="36">
        <v>4</v>
      </c>
      <c r="I35" s="36">
        <v>3</v>
      </c>
      <c r="J35" s="36">
        <v>4</v>
      </c>
      <c r="K35" s="36">
        <v>4</v>
      </c>
      <c r="L35" s="43">
        <f t="shared" ca="1" si="1"/>
        <v>3.1</v>
      </c>
      <c r="M35" s="43" t="str">
        <f t="shared" ca="1" si="2"/>
        <v>High Impact + Low Risk</v>
      </c>
      <c r="N35" s="40"/>
      <c r="O35" s="40"/>
      <c r="P35" s="40" t="s">
        <v>265</v>
      </c>
      <c r="Q35" s="40"/>
      <c r="R35" s="39" t="s">
        <v>122</v>
      </c>
    </row>
    <row r="36" spans="1:18" s="14" customFormat="1" ht="21.75" customHeight="1" x14ac:dyDescent="0.35">
      <c r="A36" s="7">
        <v>253014</v>
      </c>
      <c r="B36" s="9" t="s">
        <v>159</v>
      </c>
      <c r="C36" s="9" t="s">
        <v>160</v>
      </c>
      <c r="D36" s="9" t="s">
        <v>90</v>
      </c>
      <c r="E36" s="10">
        <v>30611</v>
      </c>
      <c r="F36" s="11">
        <f t="shared" ca="1" si="3"/>
        <v>43</v>
      </c>
      <c r="G36" s="11">
        <f t="shared" ca="1" si="0"/>
        <v>1</v>
      </c>
      <c r="H36" s="12">
        <v>3</v>
      </c>
      <c r="I36" s="12">
        <v>1</v>
      </c>
      <c r="J36" s="12">
        <v>3</v>
      </c>
      <c r="K36" s="12">
        <v>4</v>
      </c>
      <c r="L36" s="13">
        <f t="shared" ca="1" si="1"/>
        <v>2.2000000000000002</v>
      </c>
      <c r="M36" s="13" t="str">
        <f t="shared" ca="1" si="2"/>
        <v>Low Impact + Low Risk</v>
      </c>
      <c r="N36" s="9"/>
      <c r="O36" s="9"/>
      <c r="P36" s="9"/>
      <c r="Q36" s="9"/>
      <c r="R36" s="7" t="s">
        <v>122</v>
      </c>
    </row>
    <row r="37" spans="1:18" s="14" customFormat="1" ht="21.75" customHeight="1" x14ac:dyDescent="0.35">
      <c r="A37" s="8">
        <v>248031</v>
      </c>
      <c r="B37" s="15" t="s">
        <v>161</v>
      </c>
      <c r="C37" s="15" t="s">
        <v>162</v>
      </c>
      <c r="D37" s="15" t="s">
        <v>90</v>
      </c>
      <c r="E37" s="16">
        <v>29617</v>
      </c>
      <c r="F37" s="17">
        <f t="shared" ca="1" si="3"/>
        <v>45</v>
      </c>
      <c r="G37" s="17">
        <f t="shared" ca="1" si="0"/>
        <v>1</v>
      </c>
      <c r="H37" s="12">
        <v>3</v>
      </c>
      <c r="I37" s="12">
        <v>1</v>
      </c>
      <c r="J37" s="12">
        <v>4</v>
      </c>
      <c r="K37" s="12">
        <v>4</v>
      </c>
      <c r="L37" s="18">
        <f t="shared" ca="1" si="1"/>
        <v>2.5</v>
      </c>
      <c r="M37" s="18" t="str">
        <f t="shared" ca="1" si="2"/>
        <v>Low Impact + Low Risk</v>
      </c>
      <c r="N37" s="15"/>
      <c r="O37" s="15"/>
      <c r="P37" s="15"/>
      <c r="Q37" s="15"/>
      <c r="R37" s="8" t="s">
        <v>122</v>
      </c>
    </row>
    <row r="38" spans="1:18" s="38" customFormat="1" ht="21.75" customHeight="1" x14ac:dyDescent="0.35">
      <c r="A38" s="32">
        <v>251007</v>
      </c>
      <c r="B38" s="33" t="s">
        <v>163</v>
      </c>
      <c r="C38" s="33" t="s">
        <v>164</v>
      </c>
      <c r="D38" s="33" t="s">
        <v>90</v>
      </c>
      <c r="E38" s="34">
        <v>30522</v>
      </c>
      <c r="F38" s="35">
        <f t="shared" ca="1" si="3"/>
        <v>43</v>
      </c>
      <c r="G38" s="35">
        <f t="shared" ca="1" si="0"/>
        <v>1</v>
      </c>
      <c r="H38" s="36">
        <v>4</v>
      </c>
      <c r="I38" s="36">
        <v>1</v>
      </c>
      <c r="J38" s="36">
        <v>3</v>
      </c>
      <c r="K38" s="36">
        <v>4</v>
      </c>
      <c r="L38" s="37">
        <f t="shared" ca="1" si="1"/>
        <v>2.2000000000000002</v>
      </c>
      <c r="M38" s="37" t="str">
        <f t="shared" ca="1" si="2"/>
        <v>High Impact + Low Risk</v>
      </c>
      <c r="N38" s="33"/>
      <c r="O38" s="33"/>
      <c r="P38" s="33" t="s">
        <v>266</v>
      </c>
      <c r="Q38" s="33"/>
      <c r="R38" s="32" t="s">
        <v>122</v>
      </c>
    </row>
    <row r="39" spans="1:18" s="14" customFormat="1" ht="21.75" customHeight="1" x14ac:dyDescent="0.35">
      <c r="A39" s="8">
        <v>242012</v>
      </c>
      <c r="B39" s="15" t="s">
        <v>165</v>
      </c>
      <c r="C39" s="15" t="s">
        <v>166</v>
      </c>
      <c r="D39" s="15" t="s">
        <v>90</v>
      </c>
      <c r="E39" s="16">
        <v>28064</v>
      </c>
      <c r="F39" s="17">
        <f t="shared" ca="1" si="3"/>
        <v>49</v>
      </c>
      <c r="G39" s="17">
        <f t="shared" ca="1" si="0"/>
        <v>1</v>
      </c>
      <c r="H39" s="12">
        <v>3</v>
      </c>
      <c r="I39" s="12">
        <v>1</v>
      </c>
      <c r="J39" s="12">
        <v>4</v>
      </c>
      <c r="K39" s="12">
        <v>5</v>
      </c>
      <c r="L39" s="18">
        <f t="shared" ca="1" si="1"/>
        <v>2.7</v>
      </c>
      <c r="M39" s="18" t="str">
        <f t="shared" ca="1" si="2"/>
        <v>Low Impact + Low Risk</v>
      </c>
      <c r="N39" s="15"/>
      <c r="O39" s="15"/>
      <c r="P39" s="15"/>
      <c r="Q39" s="15"/>
      <c r="R39" s="8" t="s">
        <v>122</v>
      </c>
    </row>
    <row r="40" spans="1:18" s="38" customFormat="1" ht="21.75" customHeight="1" x14ac:dyDescent="0.35">
      <c r="A40" s="32">
        <v>257039</v>
      </c>
      <c r="B40" s="33" t="s">
        <v>167</v>
      </c>
      <c r="C40" s="33" t="s">
        <v>168</v>
      </c>
      <c r="D40" s="33" t="s">
        <v>90</v>
      </c>
      <c r="E40" s="34">
        <v>32578</v>
      </c>
      <c r="F40" s="35">
        <f t="shared" ca="1" si="3"/>
        <v>37</v>
      </c>
      <c r="G40" s="35">
        <f t="shared" ca="1" si="0"/>
        <v>1</v>
      </c>
      <c r="H40" s="36">
        <v>4</v>
      </c>
      <c r="I40" s="36">
        <v>3</v>
      </c>
      <c r="J40" s="36">
        <v>4</v>
      </c>
      <c r="K40" s="36">
        <v>4</v>
      </c>
      <c r="L40" s="37">
        <f t="shared" ca="1" si="1"/>
        <v>3.1</v>
      </c>
      <c r="M40" s="37" t="str">
        <f t="shared" ca="1" si="2"/>
        <v>High Impact + Low Risk</v>
      </c>
      <c r="N40" s="33"/>
      <c r="O40" s="33"/>
      <c r="P40" s="33" t="s">
        <v>267</v>
      </c>
      <c r="Q40" s="33"/>
      <c r="R40" s="32" t="s">
        <v>122</v>
      </c>
    </row>
    <row r="41" spans="1:18" s="14" customFormat="1" ht="21.75" customHeight="1" x14ac:dyDescent="0.35">
      <c r="A41" s="8">
        <v>244023</v>
      </c>
      <c r="B41" s="15" t="s">
        <v>169</v>
      </c>
      <c r="C41" s="15" t="s">
        <v>170</v>
      </c>
      <c r="D41" s="15" t="s">
        <v>90</v>
      </c>
      <c r="E41" s="16">
        <v>27775</v>
      </c>
      <c r="F41" s="17">
        <f t="shared" ca="1" si="3"/>
        <v>50</v>
      </c>
      <c r="G41" s="17">
        <f t="shared" ca="1" si="0"/>
        <v>2</v>
      </c>
      <c r="H41" s="12">
        <v>3</v>
      </c>
      <c r="I41" s="12">
        <v>1</v>
      </c>
      <c r="J41" s="12">
        <v>3</v>
      </c>
      <c r="K41" s="12">
        <v>4</v>
      </c>
      <c r="L41" s="18">
        <f t="shared" ca="1" si="1"/>
        <v>2.4</v>
      </c>
      <c r="M41" s="18" t="str">
        <f t="shared" ca="1" si="2"/>
        <v>Low Impact + Low Risk</v>
      </c>
      <c r="N41" s="15"/>
      <c r="O41" s="15"/>
      <c r="P41" s="15"/>
      <c r="Q41" s="15"/>
      <c r="R41" s="8" t="s">
        <v>122</v>
      </c>
    </row>
    <row r="42" spans="1:18" s="26" customFormat="1" ht="21.75" customHeight="1" x14ac:dyDescent="0.35">
      <c r="A42" s="20">
        <v>241009</v>
      </c>
      <c r="B42" s="21" t="s">
        <v>171</v>
      </c>
      <c r="C42" s="21" t="s">
        <v>172</v>
      </c>
      <c r="D42" s="21" t="s">
        <v>90</v>
      </c>
      <c r="E42" s="22">
        <v>28315</v>
      </c>
      <c r="F42" s="23">
        <f t="shared" ca="1" si="3"/>
        <v>49</v>
      </c>
      <c r="G42" s="23">
        <f t="shared" ca="1" si="0"/>
        <v>1</v>
      </c>
      <c r="H42" s="24">
        <v>4</v>
      </c>
      <c r="I42" s="24">
        <v>3</v>
      </c>
      <c r="J42" s="24">
        <v>4</v>
      </c>
      <c r="K42" s="24">
        <v>5</v>
      </c>
      <c r="L42" s="25">
        <f t="shared" ca="1" si="1"/>
        <v>3.3</v>
      </c>
      <c r="M42" s="25" t="str">
        <f t="shared" ca="1" si="2"/>
        <v>High Impact + Low Risk</v>
      </c>
      <c r="N42" s="21" t="s">
        <v>253</v>
      </c>
      <c r="O42" s="21" t="s">
        <v>62</v>
      </c>
      <c r="P42" s="21" t="s">
        <v>268</v>
      </c>
      <c r="Q42" s="21"/>
      <c r="R42" s="20" t="s">
        <v>173</v>
      </c>
    </row>
    <row r="43" spans="1:18" s="26" customFormat="1" ht="21.75" customHeight="1" x14ac:dyDescent="0.35">
      <c r="A43" s="27">
        <v>368001</v>
      </c>
      <c r="B43" s="28" t="s">
        <v>174</v>
      </c>
      <c r="C43" s="28" t="s">
        <v>175</v>
      </c>
      <c r="D43" s="28" t="s">
        <v>90</v>
      </c>
      <c r="E43" s="29">
        <v>30299</v>
      </c>
      <c r="F43" s="30">
        <f t="shared" ca="1" si="3"/>
        <v>43</v>
      </c>
      <c r="G43" s="30">
        <f t="shared" ca="1" si="0"/>
        <v>1</v>
      </c>
      <c r="H43" s="24">
        <v>4</v>
      </c>
      <c r="I43" s="24">
        <v>5</v>
      </c>
      <c r="J43" s="24">
        <v>4</v>
      </c>
      <c r="K43" s="24">
        <v>3</v>
      </c>
      <c r="L43" s="31">
        <f t="shared" ca="1" si="1"/>
        <v>3.5</v>
      </c>
      <c r="M43" s="31" t="str">
        <f t="shared" ca="1" si="2"/>
        <v>High Impact + High Risk</v>
      </c>
      <c r="N43" s="28" t="s">
        <v>284</v>
      </c>
      <c r="O43" s="28"/>
      <c r="P43" s="28" t="s">
        <v>269</v>
      </c>
      <c r="Q43" s="28"/>
      <c r="R43" s="27" t="s">
        <v>173</v>
      </c>
    </row>
    <row r="44" spans="1:18" s="26" customFormat="1" ht="21.75" customHeight="1" x14ac:dyDescent="0.35">
      <c r="A44" s="20">
        <v>148005</v>
      </c>
      <c r="B44" s="21" t="s">
        <v>176</v>
      </c>
      <c r="C44" s="21" t="s">
        <v>177</v>
      </c>
      <c r="D44" s="21" t="s">
        <v>90</v>
      </c>
      <c r="E44" s="22">
        <v>27329</v>
      </c>
      <c r="F44" s="23">
        <f t="shared" ca="1" si="3"/>
        <v>52</v>
      </c>
      <c r="G44" s="23">
        <f t="shared" ca="1" si="0"/>
        <v>2</v>
      </c>
      <c r="H44" s="24">
        <v>4</v>
      </c>
      <c r="I44" s="24">
        <v>1</v>
      </c>
      <c r="J44" s="24">
        <v>4</v>
      </c>
      <c r="K44" s="24">
        <v>4</v>
      </c>
      <c r="L44" s="25">
        <f t="shared" ca="1" si="1"/>
        <v>2.7</v>
      </c>
      <c r="M44" s="25" t="str">
        <f t="shared" ca="1" si="2"/>
        <v>High Impact + Low Risk</v>
      </c>
      <c r="N44" s="21" t="s">
        <v>284</v>
      </c>
      <c r="O44" s="21"/>
      <c r="P44" s="21" t="s">
        <v>270</v>
      </c>
      <c r="Q44" s="21"/>
      <c r="R44" s="20" t="s">
        <v>173</v>
      </c>
    </row>
    <row r="45" spans="1:18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48</v>
      </c>
      <c r="G45" s="11">
        <f t="shared" ca="1" si="0"/>
        <v>1</v>
      </c>
      <c r="H45" s="12">
        <v>4</v>
      </c>
      <c r="I45" s="12">
        <v>1</v>
      </c>
      <c r="J45" s="12">
        <v>2</v>
      </c>
      <c r="K45" s="12">
        <v>2</v>
      </c>
      <c r="L45" s="13">
        <f t="shared" ca="1" si="1"/>
        <v>1.5</v>
      </c>
      <c r="M45" s="13" t="str">
        <f t="shared" ca="1" si="2"/>
        <v>High Impact + Low Risk</v>
      </c>
      <c r="N45" s="9" t="s">
        <v>284</v>
      </c>
      <c r="O45" s="9"/>
      <c r="P45" s="9" t="s">
        <v>271</v>
      </c>
      <c r="Q45" s="9"/>
      <c r="R45" s="7" t="s">
        <v>93</v>
      </c>
    </row>
    <row r="46" spans="1:18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24</v>
      </c>
      <c r="G46" s="17">
        <f t="shared" ca="1" si="0"/>
        <v>1</v>
      </c>
      <c r="H46" s="12">
        <v>4</v>
      </c>
      <c r="I46" s="12">
        <v>5</v>
      </c>
      <c r="J46" s="12">
        <v>2</v>
      </c>
      <c r="K46" s="12">
        <v>2</v>
      </c>
      <c r="L46" s="18">
        <f t="shared" ca="1" si="1"/>
        <v>2.7</v>
      </c>
      <c r="M46" s="18" t="str">
        <f t="shared" ca="1" si="2"/>
        <v>High Impact + Low Risk</v>
      </c>
      <c r="N46" s="15" t="s">
        <v>284</v>
      </c>
      <c r="O46" s="15"/>
      <c r="P46" s="15" t="s">
        <v>272</v>
      </c>
      <c r="Q46" s="15"/>
      <c r="R46" s="8" t="s">
        <v>93</v>
      </c>
    </row>
    <row r="47" spans="1:18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>
        <v>4</v>
      </c>
      <c r="I47" s="12">
        <v>3</v>
      </c>
      <c r="J47" s="12">
        <v>2</v>
      </c>
      <c r="K47" s="12">
        <v>2</v>
      </c>
      <c r="L47" s="13">
        <f t="shared" ca="1" si="1"/>
        <v>2.1</v>
      </c>
      <c r="M47" s="13" t="str">
        <f t="shared" ca="1" si="2"/>
        <v>High Impact + Low Risk</v>
      </c>
      <c r="N47" s="9" t="s">
        <v>284</v>
      </c>
      <c r="O47" s="9"/>
      <c r="P47" s="9" t="s">
        <v>273</v>
      </c>
      <c r="Q47" s="9"/>
      <c r="R47" s="7" t="s">
        <v>93</v>
      </c>
    </row>
    <row r="48" spans="1:18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45</v>
      </c>
      <c r="G48" s="17">
        <f t="shared" ca="1" si="0"/>
        <v>1</v>
      </c>
      <c r="H48" s="12">
        <v>4</v>
      </c>
      <c r="I48" s="12">
        <v>1</v>
      </c>
      <c r="J48" s="12">
        <v>2</v>
      </c>
      <c r="K48" s="12">
        <v>2</v>
      </c>
      <c r="L48" s="18">
        <f t="shared" ca="1" si="1"/>
        <v>1.5</v>
      </c>
      <c r="M48" s="18" t="str">
        <f t="shared" ca="1" si="2"/>
        <v>High Impact + Low Risk</v>
      </c>
      <c r="N48" s="15" t="s">
        <v>254</v>
      </c>
      <c r="O48" s="15" t="s">
        <v>255</v>
      </c>
      <c r="P48" s="15" t="s">
        <v>274</v>
      </c>
      <c r="Q48" s="15"/>
      <c r="R48" s="8" t="s">
        <v>93</v>
      </c>
    </row>
    <row r="49" spans="1:18" s="14" customFormat="1" ht="21.75" customHeight="1" x14ac:dyDescent="0.35">
      <c r="A49" s="7">
        <v>146037</v>
      </c>
      <c r="B49" s="9" t="s">
        <v>184</v>
      </c>
      <c r="C49" s="9" t="s">
        <v>185</v>
      </c>
      <c r="D49" s="9" t="s">
        <v>90</v>
      </c>
      <c r="E49" s="10" t="s">
        <v>186</v>
      </c>
      <c r="F49" s="11">
        <v>60</v>
      </c>
      <c r="G49" s="11">
        <v>5</v>
      </c>
      <c r="H49" s="12">
        <v>5</v>
      </c>
      <c r="I49" s="12">
        <v>3</v>
      </c>
      <c r="J49" s="12">
        <v>4</v>
      </c>
      <c r="K49" s="12">
        <v>5</v>
      </c>
      <c r="L49" s="13">
        <f t="shared" ref="L49:L68" si="10">IF(OR(I49="",J49="",K49="",G49=""),"",ROUND(G49*0.2+I49*0.3+J49*0.3+K49*0.2,2))</f>
        <v>4.0999999999999996</v>
      </c>
      <c r="M49" s="13" t="str">
        <f t="shared" ref="M49:M68" si="11">IF(OR(H49="",L49=""),"",IF(AND(H49&gt;=4,L49&gt;=3.5),"High Impact + High Risk",IF(AND(H49&gt;=4,L49&lt;3.5),"High Impact + Low Risk",IF(AND(H49&lt;4,L49&gt;=3.5),"Low Impact + High Risk","Low Impact + Low Risk"))))</f>
        <v>High Impact + High Risk</v>
      </c>
      <c r="N49" s="9" t="s">
        <v>284</v>
      </c>
      <c r="O49" s="9"/>
      <c r="P49" s="9" t="s">
        <v>275</v>
      </c>
      <c r="Q49" s="9"/>
      <c r="R49" s="7" t="s">
        <v>242</v>
      </c>
    </row>
    <row r="50" spans="1:18" s="14" customFormat="1" ht="21.75" customHeight="1" x14ac:dyDescent="0.35">
      <c r="A50" s="8">
        <v>139013</v>
      </c>
      <c r="B50" s="15" t="s">
        <v>187</v>
      </c>
      <c r="C50" s="15" t="s">
        <v>188</v>
      </c>
      <c r="D50" s="15" t="s">
        <v>90</v>
      </c>
      <c r="E50" s="16" t="s">
        <v>189</v>
      </c>
      <c r="F50" s="17">
        <v>58</v>
      </c>
      <c r="G50" s="17">
        <v>4</v>
      </c>
      <c r="H50" s="12">
        <v>5</v>
      </c>
      <c r="I50" s="12">
        <v>3</v>
      </c>
      <c r="J50" s="12">
        <v>4</v>
      </c>
      <c r="K50" s="12">
        <v>5</v>
      </c>
      <c r="L50" s="18">
        <f t="shared" si="10"/>
        <v>3.9</v>
      </c>
      <c r="M50" s="18" t="str">
        <f t="shared" si="11"/>
        <v>High Impact + High Risk</v>
      </c>
      <c r="N50" s="15" t="s">
        <v>208</v>
      </c>
      <c r="O50" s="15" t="s">
        <v>252</v>
      </c>
      <c r="P50" s="15" t="s">
        <v>276</v>
      </c>
      <c r="Q50" s="15"/>
      <c r="R50" s="8" t="s">
        <v>242</v>
      </c>
    </row>
    <row r="51" spans="1:18" s="14" customFormat="1" ht="21.75" customHeight="1" x14ac:dyDescent="0.35">
      <c r="A51" s="7">
        <v>145015</v>
      </c>
      <c r="B51" s="9" t="s">
        <v>190</v>
      </c>
      <c r="C51" s="9" t="s">
        <v>191</v>
      </c>
      <c r="D51" s="9" t="s">
        <v>90</v>
      </c>
      <c r="E51" s="10" t="s">
        <v>192</v>
      </c>
      <c r="F51" s="11">
        <v>50</v>
      </c>
      <c r="G51" s="11">
        <v>2</v>
      </c>
      <c r="H51" s="12">
        <v>4</v>
      </c>
      <c r="I51" s="12">
        <v>3</v>
      </c>
      <c r="J51" s="12">
        <v>4</v>
      </c>
      <c r="K51" s="12">
        <v>4</v>
      </c>
      <c r="L51" s="13">
        <f t="shared" si="10"/>
        <v>3.3</v>
      </c>
      <c r="M51" s="13" t="str">
        <f t="shared" si="11"/>
        <v>High Impact + Low Risk</v>
      </c>
      <c r="N51" s="9" t="s">
        <v>284</v>
      </c>
      <c r="O51" s="9"/>
      <c r="P51" s="9" t="s">
        <v>277</v>
      </c>
      <c r="Q51" s="9"/>
      <c r="R51" s="7" t="s">
        <v>242</v>
      </c>
    </row>
    <row r="52" spans="1:18" s="14" customFormat="1" ht="21.75" customHeight="1" x14ac:dyDescent="0.35">
      <c r="A52" s="8">
        <v>161005</v>
      </c>
      <c r="B52" s="15" t="s">
        <v>193</v>
      </c>
      <c r="C52" s="15" t="s">
        <v>194</v>
      </c>
      <c r="D52" s="15" t="s">
        <v>90</v>
      </c>
      <c r="E52" s="16" t="s">
        <v>195</v>
      </c>
      <c r="F52" s="17">
        <v>45</v>
      </c>
      <c r="G52" s="17">
        <v>1</v>
      </c>
      <c r="H52" s="12">
        <v>2</v>
      </c>
      <c r="I52" s="12">
        <v>1</v>
      </c>
      <c r="J52" s="12">
        <v>3</v>
      </c>
      <c r="K52" s="12">
        <v>3</v>
      </c>
      <c r="L52" s="18">
        <f t="shared" si="10"/>
        <v>2</v>
      </c>
      <c r="M52" s="18" t="str">
        <f t="shared" si="11"/>
        <v>Low Impact + Low Risk</v>
      </c>
      <c r="N52" s="15"/>
      <c r="O52" s="15"/>
      <c r="P52" s="15"/>
      <c r="Q52" s="15"/>
      <c r="R52" s="8" t="s">
        <v>242</v>
      </c>
    </row>
    <row r="53" spans="1:18" s="14" customFormat="1" ht="21.75" customHeight="1" x14ac:dyDescent="0.35">
      <c r="A53" s="7">
        <v>163003</v>
      </c>
      <c r="B53" s="9" t="s">
        <v>196</v>
      </c>
      <c r="C53" s="9" t="s">
        <v>197</v>
      </c>
      <c r="D53" s="9" t="s">
        <v>90</v>
      </c>
      <c r="E53" s="10" t="s">
        <v>198</v>
      </c>
      <c r="F53" s="11">
        <v>34</v>
      </c>
      <c r="G53" s="11">
        <v>1</v>
      </c>
      <c r="H53" s="12">
        <v>3</v>
      </c>
      <c r="I53" s="12">
        <v>3</v>
      </c>
      <c r="J53" s="12">
        <v>2</v>
      </c>
      <c r="K53" s="12">
        <v>3</v>
      </c>
      <c r="L53" s="13">
        <f t="shared" si="10"/>
        <v>2.2999999999999998</v>
      </c>
      <c r="M53" s="13" t="str">
        <f t="shared" si="11"/>
        <v>Low Impact + Low Risk</v>
      </c>
      <c r="N53" s="9"/>
      <c r="O53" s="9"/>
      <c r="P53" s="9"/>
      <c r="Q53" s="9"/>
      <c r="R53" s="7" t="s">
        <v>242</v>
      </c>
    </row>
    <row r="54" spans="1:18" s="14" customFormat="1" ht="21.75" customHeight="1" x14ac:dyDescent="0.35">
      <c r="A54" s="8">
        <v>166024</v>
      </c>
      <c r="B54" s="15" t="s">
        <v>199</v>
      </c>
      <c r="C54" s="15" t="s">
        <v>200</v>
      </c>
      <c r="D54" s="15" t="s">
        <v>90</v>
      </c>
      <c r="E54" s="16" t="s">
        <v>201</v>
      </c>
      <c r="F54" s="17">
        <v>27</v>
      </c>
      <c r="G54" s="17">
        <v>1</v>
      </c>
      <c r="H54" s="12">
        <v>2</v>
      </c>
      <c r="I54" s="12">
        <v>3</v>
      </c>
      <c r="J54" s="12">
        <v>2</v>
      </c>
      <c r="K54" s="12">
        <v>3</v>
      </c>
      <c r="L54" s="18">
        <f t="shared" si="10"/>
        <v>2.2999999999999998</v>
      </c>
      <c r="M54" s="18" t="str">
        <f t="shared" si="11"/>
        <v>Low Impact + Low Risk</v>
      </c>
      <c r="N54" s="15"/>
      <c r="O54" s="15"/>
      <c r="P54" s="15"/>
      <c r="Q54" s="15"/>
      <c r="R54" s="8" t="s">
        <v>242</v>
      </c>
    </row>
    <row r="55" spans="1:18" s="14" customFormat="1" ht="21.75" customHeight="1" x14ac:dyDescent="0.35">
      <c r="A55" s="7">
        <v>167001</v>
      </c>
      <c r="B55" s="9" t="s">
        <v>202</v>
      </c>
      <c r="C55" s="9" t="s">
        <v>203</v>
      </c>
      <c r="D55" s="9" t="s">
        <v>90</v>
      </c>
      <c r="E55" s="10" t="s">
        <v>204</v>
      </c>
      <c r="F55" s="11">
        <v>37</v>
      </c>
      <c r="G55" s="11">
        <v>1</v>
      </c>
      <c r="H55" s="12">
        <v>3</v>
      </c>
      <c r="I55" s="12">
        <v>5</v>
      </c>
      <c r="J55" s="12">
        <v>3</v>
      </c>
      <c r="K55" s="12">
        <v>3</v>
      </c>
      <c r="L55" s="13">
        <f t="shared" si="10"/>
        <v>3.2</v>
      </c>
      <c r="M55" s="13" t="str">
        <f t="shared" si="11"/>
        <v>Low Impact + Low Risk</v>
      </c>
      <c r="N55" s="9"/>
      <c r="O55" s="9"/>
      <c r="P55" s="9"/>
      <c r="Q55" s="9"/>
      <c r="R55" s="7" t="s">
        <v>242</v>
      </c>
    </row>
    <row r="56" spans="1:18" s="14" customFormat="1" ht="21.75" customHeight="1" x14ac:dyDescent="0.35">
      <c r="A56" s="8">
        <v>167012</v>
      </c>
      <c r="B56" s="15" t="s">
        <v>205</v>
      </c>
      <c r="C56" s="15" t="s">
        <v>206</v>
      </c>
      <c r="D56" s="15" t="s">
        <v>90</v>
      </c>
      <c r="E56" s="16" t="s">
        <v>207</v>
      </c>
      <c r="F56" s="17">
        <v>31</v>
      </c>
      <c r="G56" s="17">
        <v>1</v>
      </c>
      <c r="H56" s="12">
        <v>2</v>
      </c>
      <c r="I56" s="12">
        <v>3</v>
      </c>
      <c r="J56" s="12">
        <v>3</v>
      </c>
      <c r="K56" s="12">
        <v>3</v>
      </c>
      <c r="L56" s="18">
        <f t="shared" si="10"/>
        <v>2.6</v>
      </c>
      <c r="M56" s="18" t="str">
        <f t="shared" si="11"/>
        <v>Low Impact + Low Risk</v>
      </c>
      <c r="N56" s="15"/>
      <c r="O56" s="15"/>
      <c r="P56" s="15"/>
      <c r="Q56" s="15"/>
      <c r="R56" s="8" t="s">
        <v>242</v>
      </c>
    </row>
    <row r="57" spans="1:18" s="14" customFormat="1" ht="21.75" customHeight="1" x14ac:dyDescent="0.35">
      <c r="A57" s="7">
        <v>260001</v>
      </c>
      <c r="B57" s="9" t="s">
        <v>208</v>
      </c>
      <c r="C57" s="9" t="s">
        <v>209</v>
      </c>
      <c r="D57" s="9" t="s">
        <v>90</v>
      </c>
      <c r="E57" s="10" t="s">
        <v>210</v>
      </c>
      <c r="F57" s="11">
        <v>35</v>
      </c>
      <c r="G57" s="11">
        <v>1</v>
      </c>
      <c r="H57" s="12">
        <v>5</v>
      </c>
      <c r="I57" s="12">
        <v>4</v>
      </c>
      <c r="J57" s="12">
        <v>4</v>
      </c>
      <c r="K57" s="12">
        <v>5</v>
      </c>
      <c r="L57" s="13">
        <f t="shared" si="10"/>
        <v>3.6</v>
      </c>
      <c r="M57" s="13" t="str">
        <f t="shared" si="11"/>
        <v>High Impact + High Risk</v>
      </c>
      <c r="N57" s="9" t="s">
        <v>284</v>
      </c>
      <c r="O57" s="9"/>
      <c r="P57" s="9" t="s">
        <v>278</v>
      </c>
      <c r="Q57" s="9"/>
      <c r="R57" s="7" t="s">
        <v>242</v>
      </c>
    </row>
    <row r="58" spans="1:18" s="14" customFormat="1" ht="21.75" customHeight="1" x14ac:dyDescent="0.35">
      <c r="A58" s="8">
        <v>267001</v>
      </c>
      <c r="B58" s="15" t="s">
        <v>211</v>
      </c>
      <c r="C58" s="15" t="s">
        <v>212</v>
      </c>
      <c r="D58" s="15" t="s">
        <v>90</v>
      </c>
      <c r="E58" s="16" t="s">
        <v>213</v>
      </c>
      <c r="F58" s="17">
        <v>31</v>
      </c>
      <c r="G58" s="17">
        <v>1</v>
      </c>
      <c r="H58" s="12">
        <v>3</v>
      </c>
      <c r="I58" s="12">
        <v>4</v>
      </c>
      <c r="J58" s="12">
        <v>3</v>
      </c>
      <c r="K58" s="12">
        <v>3</v>
      </c>
      <c r="L58" s="18">
        <f t="shared" si="10"/>
        <v>2.9</v>
      </c>
      <c r="M58" s="18" t="str">
        <f t="shared" si="11"/>
        <v>Low Impact + Low Risk</v>
      </c>
      <c r="N58" s="15"/>
      <c r="O58" s="15"/>
      <c r="P58" s="15"/>
      <c r="Q58" s="15"/>
      <c r="R58" s="8" t="s">
        <v>242</v>
      </c>
    </row>
    <row r="59" spans="1:18" s="14" customFormat="1" ht="21.75" customHeight="1" x14ac:dyDescent="0.35">
      <c r="A59" s="7">
        <v>160001</v>
      </c>
      <c r="B59" s="9" t="s">
        <v>214</v>
      </c>
      <c r="C59" s="9" t="s">
        <v>215</v>
      </c>
      <c r="D59" s="9" t="s">
        <v>90</v>
      </c>
      <c r="E59" s="10" t="s">
        <v>216</v>
      </c>
      <c r="F59" s="11">
        <v>46</v>
      </c>
      <c r="G59" s="11">
        <v>1</v>
      </c>
      <c r="H59" s="12">
        <v>4</v>
      </c>
      <c r="I59" s="12">
        <v>3</v>
      </c>
      <c r="J59" s="12">
        <v>4</v>
      </c>
      <c r="K59" s="12">
        <v>4</v>
      </c>
      <c r="L59" s="13">
        <f t="shared" si="10"/>
        <v>3.1</v>
      </c>
      <c r="M59" s="13" t="str">
        <f t="shared" si="11"/>
        <v>High Impact + Low Risk</v>
      </c>
      <c r="N59" s="9" t="s">
        <v>284</v>
      </c>
      <c r="O59" s="9"/>
      <c r="P59" s="9" t="s">
        <v>279</v>
      </c>
      <c r="Q59" s="9"/>
      <c r="R59" s="7" t="s">
        <v>242</v>
      </c>
    </row>
    <row r="60" spans="1:18" s="14" customFormat="1" ht="21.75" customHeight="1" x14ac:dyDescent="0.35">
      <c r="A60" s="7">
        <v>167020</v>
      </c>
      <c r="B60" s="9" t="s">
        <v>217</v>
      </c>
      <c r="C60" s="9" t="s">
        <v>218</v>
      </c>
      <c r="D60" s="9" t="s">
        <v>90</v>
      </c>
      <c r="E60" s="10" t="s">
        <v>219</v>
      </c>
      <c r="F60" s="11">
        <v>51</v>
      </c>
      <c r="G60" s="11">
        <v>2</v>
      </c>
      <c r="H60" s="12">
        <v>3</v>
      </c>
      <c r="I60" s="12">
        <v>3</v>
      </c>
      <c r="J60" s="12">
        <v>3</v>
      </c>
      <c r="K60" s="12">
        <v>4</v>
      </c>
      <c r="L60" s="13">
        <f t="shared" si="10"/>
        <v>3</v>
      </c>
      <c r="M60" s="13" t="str">
        <f t="shared" si="11"/>
        <v>Low Impact + Low Risk</v>
      </c>
      <c r="N60" s="9"/>
      <c r="O60" s="9"/>
      <c r="P60" s="9"/>
      <c r="Q60" s="9"/>
      <c r="R60" s="7" t="s">
        <v>242</v>
      </c>
    </row>
    <row r="61" spans="1:18" s="14" customFormat="1" ht="21.75" customHeight="1" x14ac:dyDescent="0.35">
      <c r="A61" s="8">
        <v>167029</v>
      </c>
      <c r="B61" s="15" t="s">
        <v>220</v>
      </c>
      <c r="C61" s="15" t="s">
        <v>221</v>
      </c>
      <c r="D61" s="15" t="s">
        <v>90</v>
      </c>
      <c r="E61" s="16" t="s">
        <v>222</v>
      </c>
      <c r="F61" s="17">
        <v>35</v>
      </c>
      <c r="G61" s="17">
        <v>1</v>
      </c>
      <c r="H61" s="12">
        <v>5</v>
      </c>
      <c r="I61" s="12">
        <v>3</v>
      </c>
      <c r="J61" s="12">
        <v>4</v>
      </c>
      <c r="K61" s="12">
        <v>5</v>
      </c>
      <c r="L61" s="18">
        <f t="shared" si="10"/>
        <v>3.3</v>
      </c>
      <c r="M61" s="18" t="str">
        <f t="shared" si="11"/>
        <v>High Impact + Low Risk</v>
      </c>
      <c r="N61" s="15" t="s">
        <v>284</v>
      </c>
      <c r="O61" s="15"/>
      <c r="P61" s="15" t="s">
        <v>280</v>
      </c>
      <c r="Q61" s="15"/>
      <c r="R61" s="8" t="s">
        <v>242</v>
      </c>
    </row>
    <row r="62" spans="1:18" s="14" customFormat="1" ht="21.75" customHeight="1" x14ac:dyDescent="0.35">
      <c r="A62" s="7">
        <v>167032</v>
      </c>
      <c r="B62" s="9" t="s">
        <v>223</v>
      </c>
      <c r="C62" s="9" t="s">
        <v>224</v>
      </c>
      <c r="D62" s="9" t="s">
        <v>90</v>
      </c>
      <c r="E62" s="10" t="s">
        <v>225</v>
      </c>
      <c r="F62" s="11">
        <v>29</v>
      </c>
      <c r="G62" s="11">
        <v>1</v>
      </c>
      <c r="H62" s="12">
        <v>3</v>
      </c>
      <c r="I62" s="12">
        <v>5</v>
      </c>
      <c r="J62" s="12">
        <v>3</v>
      </c>
      <c r="K62" s="12">
        <v>3</v>
      </c>
      <c r="L62" s="13">
        <f t="shared" si="10"/>
        <v>3.2</v>
      </c>
      <c r="M62" s="13" t="str">
        <f t="shared" si="11"/>
        <v>Low Impact + Low Risk</v>
      </c>
      <c r="N62" s="9"/>
      <c r="O62" s="9"/>
      <c r="P62" s="9"/>
      <c r="Q62" s="9"/>
      <c r="R62" s="7" t="s">
        <v>242</v>
      </c>
    </row>
    <row r="63" spans="1:18" s="14" customFormat="1" ht="21.75" customHeight="1" x14ac:dyDescent="0.35">
      <c r="A63" s="8">
        <v>168024</v>
      </c>
      <c r="B63" s="15" t="s">
        <v>226</v>
      </c>
      <c r="C63" s="15" t="s">
        <v>227</v>
      </c>
      <c r="D63" s="15" t="s">
        <v>90</v>
      </c>
      <c r="E63" s="16" t="s">
        <v>228</v>
      </c>
      <c r="F63" s="17">
        <v>46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10"/>
        <v>3.3</v>
      </c>
      <c r="M63" s="18" t="str">
        <f t="shared" si="11"/>
        <v>High Impact + Low Risk</v>
      </c>
      <c r="N63" s="15" t="s">
        <v>284</v>
      </c>
      <c r="O63" s="15"/>
      <c r="P63" s="15" t="s">
        <v>281</v>
      </c>
      <c r="Q63" s="15"/>
      <c r="R63" s="8" t="s">
        <v>242</v>
      </c>
    </row>
    <row r="64" spans="1:18" s="14" customFormat="1" ht="21.75" customHeight="1" x14ac:dyDescent="0.35">
      <c r="A64" s="8">
        <v>337004</v>
      </c>
      <c r="B64" s="15" t="s">
        <v>229</v>
      </c>
      <c r="C64" s="15" t="s">
        <v>230</v>
      </c>
      <c r="D64" s="15" t="s">
        <v>90</v>
      </c>
      <c r="E64" s="16" t="s">
        <v>231</v>
      </c>
      <c r="F64" s="17">
        <v>55</v>
      </c>
      <c r="G64" s="17">
        <v>3</v>
      </c>
      <c r="H64" s="12">
        <v>3</v>
      </c>
      <c r="I64" s="12">
        <v>1</v>
      </c>
      <c r="J64" s="12">
        <v>3</v>
      </c>
      <c r="K64" s="12">
        <v>4</v>
      </c>
      <c r="L64" s="18">
        <f t="shared" si="10"/>
        <v>2.6</v>
      </c>
      <c r="M64" s="18" t="str">
        <f t="shared" si="11"/>
        <v>Low Impact + Low Risk</v>
      </c>
      <c r="N64" s="15"/>
      <c r="O64" s="15"/>
      <c r="P64" s="15"/>
      <c r="Q64" s="15"/>
      <c r="R64" s="8" t="s">
        <v>242</v>
      </c>
    </row>
    <row r="65" spans="1:18" s="14" customFormat="1" ht="21.75" customHeight="1" x14ac:dyDescent="0.35">
      <c r="A65" s="8">
        <v>268044</v>
      </c>
      <c r="B65" s="15" t="s">
        <v>233</v>
      </c>
      <c r="C65" s="15" t="s">
        <v>232</v>
      </c>
      <c r="D65" s="15" t="s">
        <v>90</v>
      </c>
      <c r="E65" s="16" t="s">
        <v>234</v>
      </c>
      <c r="F65" s="17">
        <v>28</v>
      </c>
      <c r="G65" s="17">
        <v>1</v>
      </c>
      <c r="H65" s="12">
        <v>3</v>
      </c>
      <c r="I65" s="12">
        <v>4</v>
      </c>
      <c r="J65" s="12">
        <v>3</v>
      </c>
      <c r="K65" s="12">
        <v>3</v>
      </c>
      <c r="L65" s="18">
        <f t="shared" si="10"/>
        <v>2.9</v>
      </c>
      <c r="M65" s="18" t="str">
        <f t="shared" si="11"/>
        <v>Low Impact + Low Risk</v>
      </c>
      <c r="N65" s="15"/>
      <c r="O65" s="15"/>
      <c r="P65" s="15"/>
      <c r="Q65" s="15"/>
      <c r="R65" s="8" t="s">
        <v>242</v>
      </c>
    </row>
    <row r="66" spans="1:18" s="14" customFormat="1" ht="21.75" customHeight="1" x14ac:dyDescent="0.35">
      <c r="A66" s="7">
        <v>368004</v>
      </c>
      <c r="B66" s="9" t="s">
        <v>235</v>
      </c>
      <c r="C66" s="9" t="s">
        <v>236</v>
      </c>
      <c r="D66" s="9" t="s">
        <v>90</v>
      </c>
      <c r="E66" s="10" t="s">
        <v>237</v>
      </c>
      <c r="F66" s="11">
        <v>59</v>
      </c>
      <c r="G66" s="11">
        <v>4</v>
      </c>
      <c r="H66" s="12">
        <v>4</v>
      </c>
      <c r="I66" s="12">
        <v>3</v>
      </c>
      <c r="J66" s="12">
        <v>4</v>
      </c>
      <c r="K66" s="12">
        <v>4</v>
      </c>
      <c r="L66" s="13">
        <f t="shared" si="10"/>
        <v>3.7</v>
      </c>
      <c r="M66" s="13" t="str">
        <f t="shared" si="11"/>
        <v>High Impact + High Risk</v>
      </c>
      <c r="N66" s="9" t="s">
        <v>284</v>
      </c>
      <c r="O66" s="9"/>
      <c r="P66" s="9" t="s">
        <v>288</v>
      </c>
      <c r="Q66" s="9"/>
      <c r="R66" s="7" t="s">
        <v>242</v>
      </c>
    </row>
    <row r="67" spans="1:18" s="14" customFormat="1" ht="21.75" customHeight="1" x14ac:dyDescent="0.35">
      <c r="A67" s="7" t="s">
        <v>238</v>
      </c>
      <c r="B67" s="9" t="s">
        <v>128</v>
      </c>
      <c r="C67" s="9" t="s">
        <v>239</v>
      </c>
      <c r="D67" s="9" t="s">
        <v>90</v>
      </c>
      <c r="E67" s="10" t="s">
        <v>240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10"/>
        <v>3.8</v>
      </c>
      <c r="M67" s="13" t="str">
        <f t="shared" si="11"/>
        <v>High Impact + High Risk</v>
      </c>
      <c r="N67" s="9" t="s">
        <v>284</v>
      </c>
      <c r="O67" s="9"/>
      <c r="P67" s="9" t="s">
        <v>286</v>
      </c>
      <c r="Q67" s="9"/>
      <c r="R67" s="7" t="s">
        <v>242</v>
      </c>
    </row>
    <row r="68" spans="1:18" s="26" customFormat="1" ht="21.75" customHeight="1" x14ac:dyDescent="0.35">
      <c r="A68" s="20">
        <v>168016</v>
      </c>
      <c r="B68" s="21" t="s">
        <v>243</v>
      </c>
      <c r="C68" s="21" t="s">
        <v>244</v>
      </c>
      <c r="D68" s="21" t="s">
        <v>90</v>
      </c>
      <c r="E68" s="22" t="s">
        <v>245</v>
      </c>
      <c r="F68" s="23">
        <v>35</v>
      </c>
      <c r="G68" s="23">
        <v>1</v>
      </c>
      <c r="H68" s="24">
        <v>4</v>
      </c>
      <c r="I68" s="24">
        <v>3</v>
      </c>
      <c r="J68" s="24">
        <v>4</v>
      </c>
      <c r="K68" s="24">
        <v>1</v>
      </c>
      <c r="L68" s="25">
        <f t="shared" si="10"/>
        <v>2.5</v>
      </c>
      <c r="M68" s="25" t="str">
        <f t="shared" si="11"/>
        <v>High Impact + Low Risk</v>
      </c>
      <c r="N68" s="21" t="s">
        <v>284</v>
      </c>
      <c r="O68" s="21" t="s">
        <v>241</v>
      </c>
      <c r="P68" s="21" t="s">
        <v>282</v>
      </c>
      <c r="Q68" s="21"/>
      <c r="R68" s="20" t="s">
        <v>246</v>
      </c>
    </row>
    <row r="69" spans="1:18" s="14" customFormat="1" ht="21.75" customHeight="1" x14ac:dyDescent="0.35">
      <c r="A69" s="8">
        <v>258026</v>
      </c>
      <c r="B69" s="15" t="s">
        <v>247</v>
      </c>
      <c r="C69" s="15" t="s">
        <v>248</v>
      </c>
      <c r="D69" s="15" t="s">
        <v>90</v>
      </c>
      <c r="E69" s="16" t="s">
        <v>249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12">IF(OR(I69="",J69="",K69="",G69=""),"",ROUND(G69*0.2+I69*0.3+J69*0.3+K69*0.2,2))</f>
        <v>2.9</v>
      </c>
      <c r="M69" s="18" t="str">
        <f t="shared" ref="M69" si="13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283</v>
      </c>
      <c r="Q69" s="15"/>
      <c r="R69" s="8" t="s">
        <v>93</v>
      </c>
    </row>
    <row r="70" spans="1:18" x14ac:dyDescent="0.35">
      <c r="A70" s="45" t="s">
        <v>290</v>
      </c>
      <c r="B70" s="46" t="s">
        <v>293</v>
      </c>
      <c r="C70" s="47" t="s">
        <v>291</v>
      </c>
      <c r="D70" s="9" t="s">
        <v>90</v>
      </c>
      <c r="E70" s="48" t="s">
        <v>292</v>
      </c>
      <c r="F70" s="17">
        <f t="shared" ref="F70" ca="1" si="14">DATEDIF(E70,TODAY(),"Y")</f>
        <v>52</v>
      </c>
      <c r="G70" s="17">
        <f t="shared" ref="G70" ca="1" si="15">IF(F70="","",IF(F70&lt;50,1,IF(F70&lt;55,2,IF(F70&lt;58,3,IF(F70&lt;60,4,5)))))</f>
        <v>2</v>
      </c>
      <c r="H70" s="12">
        <v>4</v>
      </c>
      <c r="I70" s="12">
        <v>5</v>
      </c>
      <c r="J70" s="12">
        <v>4</v>
      </c>
      <c r="K70" s="12">
        <v>5</v>
      </c>
      <c r="L70" s="13">
        <v>3.9</v>
      </c>
      <c r="M70" s="13" t="s">
        <v>68</v>
      </c>
      <c r="N70" s="9" t="s">
        <v>140</v>
      </c>
      <c r="O70" s="9" t="s">
        <v>252</v>
      </c>
      <c r="P70" s="9" t="s">
        <v>294</v>
      </c>
      <c r="Q70" s="9"/>
      <c r="R70" s="7" t="s">
        <v>122</v>
      </c>
    </row>
  </sheetData>
  <autoFilter ref="A2:R70" xr:uid="{00000000-0001-0000-0000-000000000000}"/>
  <mergeCells count="1">
    <mergeCell ref="A1:Q1"/>
  </mergeCells>
  <conditionalFormatting sqref="A70">
    <cfRule type="duplicateValues" dxfId="1" priority="1"/>
    <cfRule type="duplicateValues" dxfId="0" priority="2"/>
  </conditionalFormatting>
  <dataValidations count="3">
    <dataValidation type="list" allowBlank="1" sqref="H3:H49 J3:K49" xr:uid="{00000000-0002-0000-0000-000000000000}">
      <formula1>"1,2,3,4,5"</formula1>
      <formula2>0</formula2>
    </dataValidation>
    <dataValidation type="list" allowBlank="1" sqref="I3:I49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2026-07-04T08:08:14Z</dcterms:created>
  <dcterms:modified xsi:type="dcterms:W3CDTF">2026-10-30T07:49:04Z</dcterms:modified>
  <dc:language>en-US</dc:language>
</cp:coreProperties>
</file>