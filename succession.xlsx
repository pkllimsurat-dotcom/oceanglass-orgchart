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" documentId="8_{403FDADD-8B2B-43ED-91C4-EFCFAA5913E5}" xr6:coauthVersionLast="47" xr6:coauthVersionMax="47" xr10:uidLastSave="{2237006A-4AFC-4CB6-A038-9920F142ADA1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3" i="1" l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<sst xmlns="http://schemas.openxmlformats.org/spreadsheetml/2006/main" count="422" uniqueCount="275">
  <si>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</si>
  <si>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</si>
  <si>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</si>
  <si>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</si>
  <si>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</si>
  <si>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</si>
  <si>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</si>
  <si>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</si>
  <si>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</si>
  <si>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</si>
  <si>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</si>
  <si>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</si>
  <si>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</si>
  <si>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</si>
  <si>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</si>
  <si>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</si>
  <si>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</si>
  <si>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</si>
  <si>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</si>
  <si>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</si>
  <si>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</si>
  <si>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</si>
  <si>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</si>
  <si>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</si>
  <si>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</si>
  <si>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</si>
  <si>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</si>
  <si>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</si>
  <si>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</si>
  <si>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</si>
  <si>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</si>
  <si>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</si>
  <si>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</si>
  <si>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</si>
  <si>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</si>
  <si>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</si>
  <si>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</si>
  <si>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</si>
  <si>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</si>
  <si>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</si>
  <si>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</si>
  <si>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</si>
  <si>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</si>
  <si>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</si>
  <si>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</si>
  <si>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</si>
  <si>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</si>
  <si>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</si>
  <si>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</si>
  <si>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</si>
  <si>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</si>
  <si>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</si>
  <si>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</si>
  <si>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</si>
  <si>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</si>
  <si>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</si>
  <si>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</si>
  <si>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</si>
  <si>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</si>
  <si>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</si>
  <si>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</si>
  <si>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</si>
  <si>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</si>
  <si>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</si>
  <si>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</si>
  <si>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</si>
  <si>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</si>
  <si>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</si>
  <si>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</si>
  <si>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</si>
  <si>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</si>
  <si>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</si>
  <si>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</si>
  <si>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</si>
  <si>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</si>
  <si>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</si>
  <si>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</si>
  <si>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</si>
  <si>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</si>
  <si>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</si>
  <si>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</si>
  <si>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</si>
  <si>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</si>
  <si>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</si>
  <si>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</si>
  <si>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</si>
  <si>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</si>
  <si>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</si>
  <si>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</si>
  <si>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</si>
  <si>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</si>
  <si>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</si>
  <si>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</si>
  <si>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</si>
  <si>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</si>
  <si>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</si>
  <si>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</si>
  <si>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</si>
  <si>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</si>
  <si>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</si>
  <si>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</si>
  <si>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</si>
  <si>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</si>
  <si>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</si>
  <si>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</si>
  <si>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</si>
  <si>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</si>
  <si>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</si>
  <si>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</si>
  <si>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</si>
  <si>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</si>
  <si>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</si>
  <si>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</si>
  <si>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</si>
  <si>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</si>
  <si>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</si>
  <si>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</si>
  <si>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</si>
  <si>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</si>
  <si>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</si>
  <si>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</si>
  <si>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</si>
  <si>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</si>
  <si>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</si>
  <si>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</si>
  <si>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</si>
  <si>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</si>
  <si>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</si>
  <si>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</si>
  <si>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</si>
  <si>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</si>
  <si>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</si>
  <si>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</si>
  <si>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</si>
  <si>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</si>
  <si>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</si>
  <si>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</si>
  <si>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</si>
  <si>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</si>
  <si>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</si>
  <si>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</si>
  <si>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</si>
  <si>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</si>
  <si>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</si>
  <si>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</si>
  <si>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</si>
  <si>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</si>
  <si>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</si>
  <si>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</si>
  <si>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</si>
  <si>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</si>
  <si>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</si>
  <si>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</si>
  <si>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</si>
  <si>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</si>
  <si>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</si>
  <si>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</si>
  <si>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</si>
  <si>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</si>
  <si>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</si>
  <si>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</si>
  <si>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</si>
  <si>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</si>
  <si>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</si>
  <si>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</si>
  <si>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</si>
  <si>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</si>
  <si>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</si>
  <si>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</si>
  <si>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</si>
  <si>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</si>
  <si>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</si>
  <si>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</si>
  <si>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</si>
  <si>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</si>
  <si>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</si>
  <si>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</si>
  <si>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</si>
  <si>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</si>
  <si>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</si>
  <si>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</si>
  <si>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</si>
  <si>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</si>
  <si>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</si>
  <si>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</si>
  <si>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</si>
  <si>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</si>
  <si>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</si>
  <si>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</si>
  <si>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</si>
  <si>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</si>
  <si>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</si>
  <si>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</si>
  <si>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</si>
  <si>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</si>
  <si>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</si>
  <si>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</si>
  <si>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</si>
  <si>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</si>
  <si>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</si>
  <si>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</si>
  <si>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</si>
  <si>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</si>
  <si>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</si>
  <si>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</si>
  <si>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</si>
  <si>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</si>
  <si>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</si>
  <si>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</si>
  <si>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</si>
  <si>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</si>
  <si>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</si>
  <si>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</si>
  <si>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</si>
  <si>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</si>
  <si>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</si>
  <si>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</si>
  <si>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</si>
  <si>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</si>
  <si>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</si>
  <si>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</si>
  <si>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</si>
  <si>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</si>
  <si>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</si>
  <si>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</si>
  <si>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</si>
  <si>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</si>
  <si>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</si>
  <si>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</si>
  <si>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</si>
  <si>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</si>
  <si>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</si>
  <si>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</si>
  <si>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ณัฐฐา สมานทรัพย์</t>
  </si>
  <si>
    <t>Supervisor - Accounting Receivable</t>
  </si>
  <si>
    <t>09/08/1977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</si>
  <si>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</si>
  <si>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</si>
  <si>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</si>
  <si>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</si>
  <si>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</si>
  <si>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</si>
  <si>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</si>
  <si>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</si>
  <si>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</si>
  <si>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</si>
  <si>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</si>
  <si>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</si>
  <si>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</si>
  <si>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</si>
  <si>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</si>
  <si>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</si>
  <si>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</si>
  <si>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</si>
  <si>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</si>
  <si>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</si>
  <si>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</si>
  <si>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</si>
  <si>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</si>
  <si>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</si>
  <si>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</si>
  <si>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</si>
  <si>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</si>
  <si>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</si>
  <si>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</si>
  <si>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</si>
  <si>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</si>
  <si>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ยังไม่ได้กรอกคะแนน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</si>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</sst>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4" t="s">
        <v>18</v>
      </c>
      <c r="C2" s="34"/>
      <c r="D2" s="34"/>
      <c r="E2" s="34"/>
      <c r="F2" s="34"/>
      <c r="G2" s="34"/>
    </row>
    <row r="4" spans="2:7" ht="19.5" customHeight="1" x14ac:dyDescent="0.35">
      <c r="B4" s="35" t="s">
        <v>19</v>
      </c>
      <c r="C4" s="35"/>
      <c r="D4" s="35"/>
      <c r="E4" s="35"/>
      <c r="F4" s="35"/>
      <c r="G4" s="35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1" t="s">
        <v>21</v>
      </c>
      <c r="C7" s="21"/>
      <c r="D7" s="21"/>
      <c r="E7" s="21"/>
      <c r="F7" s="21"/>
      <c r="G7" s="21"/>
    </row>
    <row r="8" spans="2:7" x14ac:dyDescent="0.35">
      <c r="B8" s="1" t="s">
        <v>22</v>
      </c>
      <c r="C8" s="36" t="s">
        <v>23</v>
      </c>
      <c r="D8" s="36"/>
      <c r="E8" s="36"/>
      <c r="F8" s="36"/>
      <c r="G8" s="36"/>
    </row>
    <row r="9" spans="2:7" x14ac:dyDescent="0.35">
      <c r="B9" s="2">
        <v>1</v>
      </c>
      <c r="C9" s="25" t="s">
        <v>24</v>
      </c>
      <c r="D9" s="25"/>
      <c r="E9" s="25"/>
      <c r="F9" s="25"/>
      <c r="G9" s="25"/>
    </row>
    <row r="10" spans="2:7" x14ac:dyDescent="0.35">
      <c r="B10" s="2">
        <v>2</v>
      </c>
      <c r="C10" s="25" t="s">
        <v>25</v>
      </c>
      <c r="D10" s="25"/>
      <c r="E10" s="25"/>
      <c r="F10" s="25"/>
      <c r="G10" s="25"/>
    </row>
    <row r="11" spans="2:7" x14ac:dyDescent="0.35">
      <c r="B11" s="2">
        <v>3</v>
      </c>
      <c r="C11" s="25" t="s">
        <v>26</v>
      </c>
      <c r="D11" s="25"/>
      <c r="E11" s="25"/>
      <c r="F11" s="25"/>
      <c r="G11" s="25"/>
    </row>
    <row r="12" spans="2:7" x14ac:dyDescent="0.35">
      <c r="B12" s="2">
        <v>4</v>
      </c>
      <c r="C12" s="25" t="s">
        <v>27</v>
      </c>
      <c r="D12" s="25"/>
      <c r="E12" s="25"/>
      <c r="F12" s="25"/>
      <c r="G12" s="25"/>
    </row>
    <row r="13" spans="2:7" x14ac:dyDescent="0.35">
      <c r="B13" s="2">
        <v>5</v>
      </c>
      <c r="C13" s="25" t="s">
        <v>28</v>
      </c>
      <c r="D13" s="25"/>
      <c r="E13" s="25"/>
      <c r="F13" s="25"/>
      <c r="G13" s="25"/>
    </row>
    <row r="15" spans="2:7" ht="19.5" customHeight="1" x14ac:dyDescent="0.35">
      <c r="B15" s="29" t="s">
        <v>29</v>
      </c>
      <c r="C15" s="29"/>
      <c r="D15" s="29"/>
      <c r="E15" s="29"/>
      <c r="F15" s="29"/>
      <c r="G15" s="29"/>
    </row>
    <row r="16" spans="2:7" ht="19.5" customHeight="1" x14ac:dyDescent="0.35">
      <c r="B16" s="22" t="s">
        <v>30</v>
      </c>
      <c r="C16" s="22"/>
      <c r="D16" s="22"/>
      <c r="E16" s="22"/>
      <c r="F16" s="22"/>
      <c r="G16" s="22"/>
    </row>
    <row r="17" spans="2:7" ht="19.5" customHeight="1" x14ac:dyDescent="0.35">
      <c r="B17" s="22" t="s">
        <v>31</v>
      </c>
      <c r="C17" s="22"/>
      <c r="D17" s="22"/>
      <c r="E17" s="22"/>
      <c r="F17" s="22"/>
      <c r="G17" s="22"/>
    </row>
    <row r="18" spans="2:7" ht="19.5" customHeight="1" x14ac:dyDescent="0.35">
      <c r="B18" s="22" t="s">
        <v>32</v>
      </c>
      <c r="C18" s="22"/>
      <c r="D18" s="22"/>
      <c r="E18" s="22"/>
      <c r="F18" s="22"/>
      <c r="G18" s="22"/>
    </row>
    <row r="19" spans="2:7" ht="19.5" customHeight="1" x14ac:dyDescent="0.35">
      <c r="B19" s="22" t="s">
        <v>33</v>
      </c>
      <c r="C19" s="22"/>
      <c r="D19" s="22"/>
      <c r="E19" s="22"/>
      <c r="F19" s="22"/>
      <c r="G19" s="22"/>
    </row>
    <row r="20" spans="2:7" ht="19.5" customHeight="1" x14ac:dyDescent="0.35">
      <c r="B20" s="22" t="s">
        <v>34</v>
      </c>
      <c r="C20" s="22"/>
      <c r="D20" s="22"/>
      <c r="E20" s="22"/>
      <c r="F20" s="22"/>
      <c r="G20" s="22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9" t="s">
        <v>36</v>
      </c>
      <c r="C23" s="29"/>
      <c r="D23" s="29"/>
      <c r="E23" s="29"/>
      <c r="F23" s="29"/>
      <c r="G23" s="29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32" t="s">
        <v>38</v>
      </c>
      <c r="C26" s="32"/>
      <c r="D26" s="32"/>
      <c r="E26" s="32"/>
      <c r="F26" s="33" t="s">
        <v>39</v>
      </c>
      <c r="G26" s="33"/>
    </row>
    <row r="27" spans="2:7" x14ac:dyDescent="0.35">
      <c r="B27" s="32" t="s">
        <v>40</v>
      </c>
      <c r="C27" s="32"/>
      <c r="D27" s="32"/>
      <c r="E27" s="32"/>
      <c r="F27" s="33" t="s">
        <v>41</v>
      </c>
      <c r="G27" s="33"/>
    </row>
    <row r="28" spans="2:7" x14ac:dyDescent="0.35">
      <c r="B28" s="32" t="s">
        <v>42</v>
      </c>
      <c r="C28" s="32"/>
      <c r="D28" s="32"/>
      <c r="E28" s="32"/>
      <c r="F28" s="33" t="s">
        <v>43</v>
      </c>
      <c r="G28" s="33"/>
    </row>
    <row r="29" spans="2:7" x14ac:dyDescent="0.35">
      <c r="B29" s="32" t="s">
        <v>44</v>
      </c>
      <c r="C29" s="32"/>
      <c r="D29" s="32"/>
      <c r="E29" s="32"/>
      <c r="F29" s="33" t="s">
        <v>45</v>
      </c>
      <c r="G29" s="33"/>
    </row>
    <row r="30" spans="2:7" x14ac:dyDescent="0.35">
      <c r="B30" s="32" t="s">
        <v>46</v>
      </c>
      <c r="C30" s="32"/>
      <c r="D30" s="32"/>
      <c r="E30" s="32"/>
      <c r="F30" s="33" t="s">
        <v>47</v>
      </c>
      <c r="G30" s="33"/>
    </row>
    <row r="32" spans="2:7" ht="19.5" customHeight="1" x14ac:dyDescent="0.35">
      <c r="B32" s="29" t="s">
        <v>48</v>
      </c>
      <c r="C32" s="29"/>
      <c r="D32" s="29"/>
      <c r="E32" s="29"/>
      <c r="F32" s="29"/>
      <c r="G32" s="29"/>
    </row>
    <row r="33" spans="2:7" x14ac:dyDescent="0.35">
      <c r="B33" s="2">
        <v>1</v>
      </c>
      <c r="C33" s="25" t="s">
        <v>49</v>
      </c>
      <c r="D33" s="25"/>
      <c r="E33" s="25"/>
      <c r="F33" s="25"/>
      <c r="G33" s="25"/>
    </row>
    <row r="34" spans="2:7" x14ac:dyDescent="0.35">
      <c r="B34" s="2">
        <v>3</v>
      </c>
      <c r="C34" s="25" t="s">
        <v>50</v>
      </c>
      <c r="D34" s="25"/>
      <c r="E34" s="25"/>
      <c r="F34" s="25"/>
      <c r="G34" s="25"/>
    </row>
    <row r="35" spans="2:7" x14ac:dyDescent="0.35">
      <c r="B35" s="2">
        <v>5</v>
      </c>
      <c r="C35" s="25" t="s">
        <v>51</v>
      </c>
      <c r="D35" s="25"/>
      <c r="E35" s="25"/>
      <c r="F35" s="25"/>
      <c r="G35" s="25"/>
    </row>
    <row r="37" spans="2:7" ht="19.5" customHeight="1" x14ac:dyDescent="0.35">
      <c r="B37" s="29" t="s">
        <v>52</v>
      </c>
      <c r="C37" s="29"/>
      <c r="D37" s="29"/>
      <c r="E37" s="29"/>
      <c r="F37" s="29"/>
      <c r="G37" s="29"/>
    </row>
    <row r="38" spans="2:7" x14ac:dyDescent="0.35">
      <c r="B38" s="2">
        <v>1</v>
      </c>
      <c r="C38" s="25" t="s">
        <v>53</v>
      </c>
      <c r="D38" s="25"/>
      <c r="E38" s="25"/>
      <c r="F38" s="25"/>
      <c r="G38" s="25"/>
    </row>
    <row r="39" spans="2:7" x14ac:dyDescent="0.35">
      <c r="B39" s="2">
        <v>2</v>
      </c>
      <c r="C39" s="25" t="s">
        <v>54</v>
      </c>
      <c r="D39" s="25"/>
      <c r="E39" s="25"/>
      <c r="F39" s="25"/>
      <c r="G39" s="25"/>
    </row>
    <row r="40" spans="2:7" x14ac:dyDescent="0.35">
      <c r="B40" s="2">
        <v>3</v>
      </c>
      <c r="C40" s="25" t="s">
        <v>55</v>
      </c>
      <c r="D40" s="25"/>
      <c r="E40" s="25"/>
      <c r="F40" s="25"/>
      <c r="G40" s="25"/>
    </row>
    <row r="41" spans="2:7" x14ac:dyDescent="0.35">
      <c r="B41" s="2">
        <v>4</v>
      </c>
      <c r="C41" s="25" t="s">
        <v>56</v>
      </c>
      <c r="D41" s="25"/>
      <c r="E41" s="25"/>
      <c r="F41" s="25"/>
      <c r="G41" s="25"/>
    </row>
    <row r="42" spans="2:7" x14ac:dyDescent="0.35">
      <c r="B42" s="2">
        <v>5</v>
      </c>
      <c r="C42" s="25" t="s">
        <v>57</v>
      </c>
      <c r="D42" s="25"/>
      <c r="E42" s="25"/>
      <c r="F42" s="25"/>
      <c r="G42" s="25"/>
    </row>
    <row r="44" spans="2:7" ht="19.5" customHeight="1" x14ac:dyDescent="0.35">
      <c r="B44" s="29" t="s">
        <v>58</v>
      </c>
      <c r="C44" s="29"/>
      <c r="D44" s="29"/>
      <c r="E44" s="29"/>
      <c r="F44" s="29"/>
      <c r="G44" s="29"/>
    </row>
    <row r="45" spans="2:7" x14ac:dyDescent="0.35">
      <c r="B45" s="2">
        <v>1</v>
      </c>
      <c r="C45" s="25" t="s">
        <v>59</v>
      </c>
      <c r="D45" s="25"/>
      <c r="E45" s="25"/>
      <c r="F45" s="25"/>
      <c r="G45" s="25"/>
    </row>
    <row r="46" spans="2:7" x14ac:dyDescent="0.35">
      <c r="B46" s="2">
        <v>2</v>
      </c>
      <c r="C46" s="25" t="s">
        <v>60</v>
      </c>
      <c r="D46" s="25"/>
      <c r="E46" s="25"/>
      <c r="F46" s="25"/>
      <c r="G46" s="25"/>
    </row>
    <row r="47" spans="2:7" x14ac:dyDescent="0.35">
      <c r="B47" s="2">
        <v>3</v>
      </c>
      <c r="C47" s="25" t="s">
        <v>61</v>
      </c>
      <c r="D47" s="25"/>
      <c r="E47" s="25"/>
      <c r="F47" s="25"/>
      <c r="G47" s="25"/>
    </row>
    <row r="48" spans="2:7" x14ac:dyDescent="0.35">
      <c r="B48" s="2">
        <v>4</v>
      </c>
      <c r="C48" s="25" t="s">
        <v>62</v>
      </c>
      <c r="D48" s="25"/>
      <c r="E48" s="25"/>
      <c r="F48" s="25"/>
      <c r="G48" s="25"/>
    </row>
    <row r="49" spans="2:7" x14ac:dyDescent="0.35">
      <c r="B49" s="2">
        <v>5</v>
      </c>
      <c r="C49" s="25" t="s">
        <v>63</v>
      </c>
      <c r="D49" s="25"/>
      <c r="E49" s="25"/>
      <c r="F49" s="25"/>
      <c r="G49" s="25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24" t="s">
        <v>68</v>
      </c>
      <c r="C56" s="24"/>
      <c r="D56" s="24"/>
      <c r="E56" s="25" t="s">
        <v>69</v>
      </c>
      <c r="F56" s="25"/>
      <c r="G56" s="25"/>
    </row>
    <row r="57" spans="2:7" x14ac:dyDescent="0.35">
      <c r="B57" s="26" t="s">
        <v>70</v>
      </c>
      <c r="C57" s="26"/>
      <c r="D57" s="26"/>
      <c r="E57" s="25" t="s">
        <v>71</v>
      </c>
      <c r="F57" s="25"/>
      <c r="G57" s="25"/>
    </row>
    <row r="58" spans="2:7" x14ac:dyDescent="0.35">
      <c r="B58" s="27" t="s">
        <v>72</v>
      </c>
      <c r="C58" s="27"/>
      <c r="D58" s="27"/>
      <c r="E58" s="25" t="s">
        <v>73</v>
      </c>
      <c r="F58" s="25"/>
      <c r="G58" s="25"/>
    </row>
    <row r="59" spans="2:7" x14ac:dyDescent="0.35">
      <c r="B59" s="28" t="s">
        <v>74</v>
      </c>
      <c r="C59" s="28"/>
      <c r="D59" s="28"/>
      <c r="E59" s="25" t="s">
        <v>75</v>
      </c>
      <c r="F59" s="25"/>
      <c r="G59" s="25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1" t="s">
        <v>77</v>
      </c>
      <c r="C63" s="21"/>
      <c r="D63" s="21"/>
      <c r="E63" s="21"/>
      <c r="F63" s="21"/>
      <c r="G63" s="21"/>
    </row>
    <row r="64" spans="2:7" ht="19.5" customHeight="1" x14ac:dyDescent="0.35">
      <c r="B64" s="22" t="s">
        <v>78</v>
      </c>
      <c r="C64" s="22"/>
      <c r="D64" s="22"/>
      <c r="E64" s="22"/>
      <c r="F64" s="22"/>
      <c r="G64" s="22"/>
    </row>
    <row r="65" spans="2:7" ht="19.5" customHeight="1" x14ac:dyDescent="0.35">
      <c r="B65" s="22" t="s">
        <v>79</v>
      </c>
      <c r="C65" s="22"/>
      <c r="D65" s="22"/>
      <c r="E65" s="22"/>
      <c r="F65" s="22"/>
      <c r="G65" s="22"/>
    </row>
    <row r="66" spans="2:7" ht="19.5" customHeight="1" x14ac:dyDescent="0.35">
      <c r="B66" s="22" t="s">
        <v>80</v>
      </c>
      <c r="C66" s="22"/>
      <c r="D66" s="22"/>
      <c r="E66" s="22"/>
      <c r="F66" s="22"/>
      <c r="G66" s="22"/>
    </row>
    <row r="67" spans="2:7" ht="19.5" customHeight="1" x14ac:dyDescent="0.35">
      <c r="B67" s="22" t="s">
        <v>81</v>
      </c>
      <c r="C67" s="22"/>
      <c r="D67" s="22"/>
      <c r="E67" s="22"/>
      <c r="F67" s="22"/>
      <c r="G67" s="22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1" t="s">
        <v>83</v>
      </c>
      <c r="C70" s="21"/>
      <c r="D70" s="21"/>
      <c r="E70" s="21"/>
      <c r="F70" s="21"/>
      <c r="G70" s="21"/>
    </row>
    <row r="71" spans="2:7" ht="19.5" customHeight="1" x14ac:dyDescent="0.35">
      <c r="B71" s="21" t="s">
        <v>84</v>
      </c>
      <c r="C71" s="21"/>
      <c r="D71" s="21"/>
      <c r="E71" s="21"/>
      <c r="F71" s="21"/>
      <c r="G71" s="21"/>
    </row>
    <row r="72" spans="2:7" ht="19.5" customHeight="1" x14ac:dyDescent="0.35">
      <c r="B72" s="21" t="s">
        <v>85</v>
      </c>
      <c r="C72" s="21"/>
      <c r="D72" s="21"/>
      <c r="E72" s="21"/>
      <c r="F72" s="21"/>
      <c r="G72" s="21"/>
    </row>
    <row r="73" spans="2:7" ht="19.5" customHeight="1" x14ac:dyDescent="0.35">
      <c r="B73" s="21" t="s">
        <v>86</v>
      </c>
      <c r="C73" s="21"/>
      <c r="D73" s="21"/>
      <c r="E73" s="21"/>
      <c r="F73" s="21"/>
      <c r="G73" s="21"/>
    </row>
    <row r="74" spans="2:7" ht="19.5" customHeight="1" x14ac:dyDescent="0.35">
      <c r="B74" s="21" t="s">
        <v>87</v>
      </c>
      <c r="C74" s="21"/>
      <c r="D74" s="21"/>
      <c r="E74" s="21"/>
      <c r="F74" s="21"/>
      <c r="G74" s="21"/>
    </row>
    <row r="75" spans="2:7" ht="19.5" customHeight="1" x14ac:dyDescent="0.35">
      <c r="B75" s="21" t="s">
        <v>88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showGridLines="0" tabSelected="1" zoomScale="99" zoomScaleNormal="99" workbookViewId="0">
      <pane xSplit="4" ySplit="2" topLeftCell="E57" activePane="bottomRight" state="frozen"/>
      <selection pane="topRight" activeCell="E1" sqref="E1"/>
      <selection pane="bottomLeft" activeCell="A4" sqref="A4"/>
      <selection pane="bottomRight" activeCell="A66" sqref="A66:XFD66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9" ca="1" si="1">IF(OR(I3="",J3="",K3="",G3=""),"",ROUND(G3*0.2+I3*0.3+J3*0.3+K3*0.2,2))</f>
        <v>2.2999999999999998</v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57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43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48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24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7">
        <v>146037</v>
      </c>
      <c r="B50" s="9" t="s">
        <v>200</v>
      </c>
      <c r="C50" s="9" t="s">
        <v>201</v>
      </c>
      <c r="D50" s="9" t="s">
        <v>90</v>
      </c>
      <c r="E50" s="10" t="s">
        <v>202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2" si="6">IF(OR(I50="",J50="",K50="",G50=""),"",ROUND(G50*0.2+I50*0.3+J50*0.3+K50*0.2,2))</f>
        <v>4.0999999999999996</v>
      </c>
      <c r="M50" s="13" t="str">
        <f t="shared" ref="M50:M72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 t="s">
        <v>266</v>
      </c>
    </row>
    <row r="51" spans="1:19" s="14" customFormat="1" ht="21.75" customHeight="1" x14ac:dyDescent="0.35">
      <c r="A51" s="8">
        <v>139013</v>
      </c>
      <c r="B51" s="15" t="s">
        <v>203</v>
      </c>
      <c r="C51" s="15" t="s">
        <v>204</v>
      </c>
      <c r="D51" s="15" t="s">
        <v>90</v>
      </c>
      <c r="E51" s="16" t="s">
        <v>205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 t="s">
        <v>266</v>
      </c>
    </row>
    <row r="52" spans="1:19" s="14" customFormat="1" ht="21.75" customHeight="1" x14ac:dyDescent="0.35">
      <c r="A52" s="7">
        <v>145015</v>
      </c>
      <c r="B52" s="9" t="s">
        <v>206</v>
      </c>
      <c r="C52" s="9" t="s">
        <v>207</v>
      </c>
      <c r="D52" s="9" t="s">
        <v>90</v>
      </c>
      <c r="E52" s="10" t="s">
        <v>208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 t="s">
        <v>266</v>
      </c>
    </row>
    <row r="53" spans="1:19" s="14" customFormat="1" ht="21.75" customHeight="1" x14ac:dyDescent="0.35">
      <c r="A53" s="8">
        <v>161005</v>
      </c>
      <c r="B53" s="15" t="s">
        <v>209</v>
      </c>
      <c r="C53" s="15" t="s">
        <v>210</v>
      </c>
      <c r="D53" s="15" t="s">
        <v>90</v>
      </c>
      <c r="E53" s="16" t="s">
        <v>211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 t="s">
        <v>266</v>
      </c>
    </row>
    <row r="54" spans="1:19" s="14" customFormat="1" ht="21.75" customHeight="1" x14ac:dyDescent="0.35">
      <c r="A54" s="7">
        <v>163003</v>
      </c>
      <c r="B54" s="9" t="s">
        <v>212</v>
      </c>
      <c r="C54" s="9" t="s">
        <v>213</v>
      </c>
      <c r="D54" s="9" t="s">
        <v>90</v>
      </c>
      <c r="E54" s="10" t="s">
        <v>214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 t="s">
        <v>266</v>
      </c>
    </row>
    <row r="55" spans="1:19" s="14" customFormat="1" ht="21.75" customHeight="1" x14ac:dyDescent="0.35">
      <c r="A55" s="8">
        <v>166024</v>
      </c>
      <c r="B55" s="15" t="s">
        <v>215</v>
      </c>
      <c r="C55" s="15" t="s">
        <v>216</v>
      </c>
      <c r="D55" s="15" t="s">
        <v>90</v>
      </c>
      <c r="E55" s="16" t="s">
        <v>217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 t="s">
        <v>266</v>
      </c>
    </row>
    <row r="56" spans="1:19" s="14" customFormat="1" ht="21.75" customHeight="1" x14ac:dyDescent="0.35">
      <c r="A56" s="7">
        <v>167001</v>
      </c>
      <c r="B56" s="9" t="s">
        <v>218</v>
      </c>
      <c r="C56" s="9" t="s">
        <v>219</v>
      </c>
      <c r="D56" s="9" t="s">
        <v>90</v>
      </c>
      <c r="E56" s="10" t="s">
        <v>220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 t="s">
        <v>266</v>
      </c>
    </row>
    <row r="57" spans="1:19" s="14" customFormat="1" ht="21.75" customHeight="1" x14ac:dyDescent="0.35">
      <c r="A57" s="8">
        <v>167012</v>
      </c>
      <c r="B57" s="15" t="s">
        <v>221</v>
      </c>
      <c r="C57" s="15" t="s">
        <v>222</v>
      </c>
      <c r="D57" s="15" t="s">
        <v>90</v>
      </c>
      <c r="E57" s="16" t="s">
        <v>223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 t="s">
        <v>266</v>
      </c>
    </row>
    <row r="58" spans="1:19" s="14" customFormat="1" ht="21.75" customHeight="1" x14ac:dyDescent="0.35">
      <c r="A58" s="7">
        <v>260001</v>
      </c>
      <c r="B58" s="9" t="s">
        <v>224</v>
      </c>
      <c r="C58" s="9" t="s">
        <v>225</v>
      </c>
      <c r="D58" s="9" t="s">
        <v>90</v>
      </c>
      <c r="E58" s="10" t="s">
        <v>226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 t="s">
        <v>266</v>
      </c>
    </row>
    <row r="59" spans="1:19" s="14" customFormat="1" ht="21.75" customHeight="1" x14ac:dyDescent="0.35">
      <c r="A59" s="8">
        <v>267001</v>
      </c>
      <c r="B59" s="15" t="s">
        <v>227</v>
      </c>
      <c r="C59" s="15" t="s">
        <v>228</v>
      </c>
      <c r="D59" s="15" t="s">
        <v>90</v>
      </c>
      <c r="E59" s="16" t="s">
        <v>229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 t="s">
        <v>266</v>
      </c>
    </row>
    <row r="60" spans="1:19" s="14" customFormat="1" ht="21.75" customHeight="1" x14ac:dyDescent="0.35">
      <c r="A60" s="7">
        <v>160001</v>
      </c>
      <c r="B60" s="9" t="s">
        <v>230</v>
      </c>
      <c r="C60" s="9" t="s">
        <v>231</v>
      </c>
      <c r="D60" s="9" t="s">
        <v>90</v>
      </c>
      <c r="E60" s="10" t="s">
        <v>232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 t="s">
        <v>266</v>
      </c>
    </row>
    <row r="61" spans="1:19" s="14" customFormat="1" ht="21.75" customHeight="1" x14ac:dyDescent="0.35">
      <c r="A61" s="8">
        <v>165004</v>
      </c>
      <c r="B61" s="15" t="s">
        <v>233</v>
      </c>
      <c r="C61" s="15" t="s">
        <v>234</v>
      </c>
      <c r="D61" s="15" t="s">
        <v>90</v>
      </c>
      <c r="E61" s="16" t="s">
        <v>235</v>
      </c>
      <c r="F61" s="17">
        <v>49</v>
      </c>
      <c r="G61" s="17">
        <v>1</v>
      </c>
      <c r="H61" s="12">
        <v>4</v>
      </c>
      <c r="I61" s="12">
        <v>3</v>
      </c>
      <c r="J61" s="12">
        <v>3</v>
      </c>
      <c r="K61" s="12">
        <v>4</v>
      </c>
      <c r="L61" s="18">
        <f t="shared" si="6"/>
        <v>2.8</v>
      </c>
      <c r="M61" s="18" t="str">
        <f t="shared" si="7"/>
        <v>High Impact + Low Risk</v>
      </c>
      <c r="N61" s="15"/>
      <c r="O61" s="15"/>
      <c r="P61" s="15"/>
      <c r="Q61" s="15"/>
      <c r="S61" s="8" t="s">
        <v>266</v>
      </c>
    </row>
    <row r="62" spans="1:19" s="14" customFormat="1" ht="21.75" customHeight="1" x14ac:dyDescent="0.35">
      <c r="A62" s="7">
        <v>167020</v>
      </c>
      <c r="B62" s="9" t="s">
        <v>236</v>
      </c>
      <c r="C62" s="9" t="s">
        <v>237</v>
      </c>
      <c r="D62" s="9" t="s">
        <v>90</v>
      </c>
      <c r="E62" s="10" t="s">
        <v>238</v>
      </c>
      <c r="F62" s="11">
        <v>51</v>
      </c>
      <c r="G62" s="11">
        <v>2</v>
      </c>
      <c r="H62" s="12">
        <v>3</v>
      </c>
      <c r="I62" s="12">
        <v>3</v>
      </c>
      <c r="J62" s="12">
        <v>3</v>
      </c>
      <c r="K62" s="12">
        <v>4</v>
      </c>
      <c r="L62" s="13">
        <f t="shared" si="6"/>
        <v>3</v>
      </c>
      <c r="M62" s="13" t="str">
        <f t="shared" si="7"/>
        <v>Low Impact + Low Risk</v>
      </c>
      <c r="N62" s="9"/>
      <c r="O62" s="9"/>
      <c r="P62" s="9"/>
      <c r="Q62" s="9"/>
      <c r="S62" s="7" t="s">
        <v>266</v>
      </c>
    </row>
    <row r="63" spans="1:19" s="14" customFormat="1" ht="21.75" customHeight="1" x14ac:dyDescent="0.35">
      <c r="A63" s="8">
        <v>167029</v>
      </c>
      <c r="B63" s="15" t="s">
        <v>239</v>
      </c>
      <c r="C63" s="15" t="s">
        <v>240</v>
      </c>
      <c r="D63" s="15" t="s">
        <v>90</v>
      </c>
      <c r="E63" s="16" t="s">
        <v>241</v>
      </c>
      <c r="F63" s="17">
        <v>35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 t="s">
        <v>266</v>
      </c>
    </row>
    <row r="64" spans="1:19" s="14" customFormat="1" ht="21.75" customHeight="1" x14ac:dyDescent="0.35">
      <c r="A64" s="7">
        <v>167032</v>
      </c>
      <c r="B64" s="9" t="s">
        <v>242</v>
      </c>
      <c r="C64" s="9" t="s">
        <v>243</v>
      </c>
      <c r="D64" s="9" t="s">
        <v>90</v>
      </c>
      <c r="E64" s="10" t="s">
        <v>244</v>
      </c>
      <c r="F64" s="11">
        <v>29</v>
      </c>
      <c r="G64" s="11">
        <v>1</v>
      </c>
      <c r="H64" s="12">
        <v>3</v>
      </c>
      <c r="I64" s="12">
        <v>5</v>
      </c>
      <c r="J64" s="12">
        <v>3</v>
      </c>
      <c r="K64" s="12">
        <v>3</v>
      </c>
      <c r="L64" s="13">
        <f t="shared" si="6"/>
        <v>3.2</v>
      </c>
      <c r="M64" s="13" t="str">
        <f t="shared" si="7"/>
        <v>Low Impact + Low Risk</v>
      </c>
      <c r="N64" s="9"/>
      <c r="O64" s="9"/>
      <c r="P64" s="9"/>
      <c r="Q64" s="9"/>
      <c r="S64" s="7" t="s">
        <v>266</v>
      </c>
    </row>
    <row r="65" spans="1:19" s="14" customFormat="1" ht="21.75" customHeight="1" x14ac:dyDescent="0.35">
      <c r="A65" s="8">
        <v>168024</v>
      </c>
      <c r="B65" s="15" t="s">
        <v>245</v>
      </c>
      <c r="C65" s="15" t="s">
        <v>246</v>
      </c>
      <c r="D65" s="15" t="s">
        <v>90</v>
      </c>
      <c r="E65" s="16" t="s">
        <v>247</v>
      </c>
      <c r="F65" s="17">
        <v>46</v>
      </c>
      <c r="G65" s="17">
        <v>1</v>
      </c>
      <c r="H65" s="12">
        <v>5</v>
      </c>
      <c r="I65" s="12">
        <v>3</v>
      </c>
      <c r="J65" s="12">
        <v>4</v>
      </c>
      <c r="K65" s="12">
        <v>5</v>
      </c>
      <c r="L65" s="18">
        <f t="shared" si="6"/>
        <v>3.3</v>
      </c>
      <c r="M65" s="18" t="str">
        <f t="shared" si="7"/>
        <v>High Impact + Low Risk</v>
      </c>
      <c r="N65" s="15"/>
      <c r="O65" s="15"/>
      <c r="P65" s="15"/>
      <c r="Q65" s="15"/>
      <c r="S65" s="8" t="s">
        <v>266</v>
      </c>
    </row>
    <row r="66" spans="1:19" s="14" customFormat="1" ht="21.75" customHeight="1" x14ac:dyDescent="0.35">
      <c r="A66" s="8">
        <v>337004</v>
      </c>
      <c r="B66" s="15" t="s">
        <v>248</v>
      </c>
      <c r="C66" s="15" t="s">
        <v>249</v>
      </c>
      <c r="D66" s="15" t="s">
        <v>90</v>
      </c>
      <c r="E66" s="16" t="s">
        <v>250</v>
      </c>
      <c r="F66" s="17">
        <v>55</v>
      </c>
      <c r="G66" s="17">
        <v>3</v>
      </c>
      <c r="H66" s="12">
        <v>3</v>
      </c>
      <c r="I66" s="12">
        <v>1</v>
      </c>
      <c r="J66" s="12">
        <v>3</v>
      </c>
      <c r="K66" s="12">
        <v>4</v>
      </c>
      <c r="L66" s="18">
        <f t="shared" si="6"/>
        <v>2.6</v>
      </c>
      <c r="M66" s="18" t="str">
        <f t="shared" si="7"/>
        <v>Low Impact + Low Risk</v>
      </c>
      <c r="N66" s="15"/>
      <c r="O66" s="15"/>
      <c r="P66" s="15"/>
      <c r="Q66" s="15"/>
      <c r="S66" s="8" t="s">
        <v>266</v>
      </c>
    </row>
    <row r="67" spans="1:19" s="14" customFormat="1" ht="21.75" customHeight="1" x14ac:dyDescent="0.35">
      <c r="A67" s="7">
        <v>267085</v>
      </c>
      <c r="B67" s="9" t="s">
        <v>251</v>
      </c>
      <c r="C67" s="9" t="s">
        <v>252</v>
      </c>
      <c r="D67" s="9" t="s">
        <v>90</v>
      </c>
      <c r="E67" s="10" t="s">
        <v>253</v>
      </c>
      <c r="F67" s="11">
        <v>30</v>
      </c>
      <c r="G67" s="11">
        <v>1</v>
      </c>
      <c r="H67" s="12">
        <v>3</v>
      </c>
      <c r="I67" s="12">
        <v>4</v>
      </c>
      <c r="J67" s="12">
        <v>3</v>
      </c>
      <c r="K67" s="12">
        <v>3</v>
      </c>
      <c r="L67" s="13">
        <f t="shared" si="6"/>
        <v>2.9</v>
      </c>
      <c r="M67" s="13" t="str">
        <f t="shared" si="7"/>
        <v>Low Impact + Low Risk</v>
      </c>
      <c r="N67" s="9"/>
      <c r="O67" s="9"/>
      <c r="P67" s="9"/>
      <c r="Q67" s="9"/>
      <c r="S67" s="7" t="s">
        <v>266</v>
      </c>
    </row>
    <row r="68" spans="1:19" s="14" customFormat="1" ht="21.75" customHeight="1" x14ac:dyDescent="0.35">
      <c r="A68" s="8">
        <v>268044</v>
      </c>
      <c r="B68" s="15" t="s">
        <v>254</v>
      </c>
      <c r="C68" s="15" t="s">
        <v>252</v>
      </c>
      <c r="D68" s="15" t="s">
        <v>90</v>
      </c>
      <c r="E68" s="16" t="s">
        <v>255</v>
      </c>
      <c r="F68" s="17">
        <v>28</v>
      </c>
      <c r="G68" s="17">
        <v>1</v>
      </c>
      <c r="H68" s="12">
        <v>3</v>
      </c>
      <c r="I68" s="12">
        <v>4</v>
      </c>
      <c r="J68" s="12">
        <v>3</v>
      </c>
      <c r="K68" s="12">
        <v>3</v>
      </c>
      <c r="L68" s="18">
        <f t="shared" si="6"/>
        <v>2.9</v>
      </c>
      <c r="M68" s="18" t="str">
        <f t="shared" si="7"/>
        <v>Low Impact + Low Risk</v>
      </c>
      <c r="N68" s="15"/>
      <c r="O68" s="15"/>
      <c r="P68" s="15"/>
      <c r="Q68" s="15"/>
      <c r="S68" s="8" t="s">
        <v>266</v>
      </c>
    </row>
    <row r="69" spans="1:19" s="14" customFormat="1" ht="21.75" customHeight="1" x14ac:dyDescent="0.35">
      <c r="A69" s="7">
        <v>368004</v>
      </c>
      <c r="B69" s="9" t="s">
        <v>256</v>
      </c>
      <c r="C69" s="9" t="s">
        <v>257</v>
      </c>
      <c r="D69" s="9" t="s">
        <v>90</v>
      </c>
      <c r="E69" s="10" t="s">
        <v>258</v>
      </c>
      <c r="F69" s="11">
        <v>59</v>
      </c>
      <c r="G69" s="11">
        <v>4</v>
      </c>
      <c r="H69" s="12">
        <v>4</v>
      </c>
      <c r="I69" s="12">
        <v>3</v>
      </c>
      <c r="J69" s="12">
        <v>4</v>
      </c>
      <c r="K69" s="12">
        <v>4</v>
      </c>
      <c r="L69" s="13">
        <f t="shared" si="6"/>
        <v>3.7</v>
      </c>
      <c r="M69" s="13" t="str">
        <f t="shared" si="7"/>
        <v>High Impact + High Risk</v>
      </c>
      <c r="N69" s="9"/>
      <c r="O69" s="9"/>
      <c r="P69" s="9"/>
      <c r="Q69" s="9"/>
      <c r="S69" s="7" t="s">
        <v>266</v>
      </c>
    </row>
    <row r="70" spans="1:19" s="14" customFormat="1" ht="21.75" customHeight="1" x14ac:dyDescent="0.35">
      <c r="A70" s="8">
        <v>269040</v>
      </c>
      <c r="B70" s="15" t="s">
        <v>259</v>
      </c>
      <c r="C70" s="15" t="s">
        <v>260</v>
      </c>
      <c r="D70" s="15" t="s">
        <v>90</v>
      </c>
      <c r="E70" s="16" t="s">
        <v>261</v>
      </c>
      <c r="F70" s="17">
        <v>45</v>
      </c>
      <c r="G70" s="17">
        <v>1</v>
      </c>
      <c r="H70" s="12">
        <v>4</v>
      </c>
      <c r="I70" s="12">
        <v>3</v>
      </c>
      <c r="J70" s="12">
        <v>4</v>
      </c>
      <c r="K70" s="12">
        <v>3</v>
      </c>
      <c r="L70" s="18">
        <f t="shared" si="6"/>
        <v>2.9</v>
      </c>
      <c r="M70" s="18" t="str">
        <f t="shared" si="7"/>
        <v>High Impact + Low Risk</v>
      </c>
      <c r="N70" s="15"/>
      <c r="O70" s="15"/>
      <c r="P70" s="15"/>
      <c r="Q70" s="15"/>
      <c r="S70" s="8" t="s">
        <v>266</v>
      </c>
    </row>
    <row r="71" spans="1:19" s="14" customFormat="1" ht="21.75" customHeight="1" x14ac:dyDescent="0.35">
      <c r="A71" s="7" t="s">
        <v>262</v>
      </c>
      <c r="B71" s="9" t="s">
        <v>133</v>
      </c>
      <c r="C71" s="9" t="s">
        <v>263</v>
      </c>
      <c r="D71" s="9" t="s">
        <v>90</v>
      </c>
      <c r="E71" s="10" t="s">
        <v>264</v>
      </c>
      <c r="F71" s="11">
        <v>55</v>
      </c>
      <c r="G71" s="11">
        <v>3</v>
      </c>
      <c r="H71" s="12">
        <v>4</v>
      </c>
      <c r="I71" s="12">
        <v>4</v>
      </c>
      <c r="J71" s="12">
        <v>4</v>
      </c>
      <c r="K71" s="12">
        <v>4</v>
      </c>
      <c r="L71" s="13">
        <f t="shared" si="6"/>
        <v>3.8</v>
      </c>
      <c r="M71" s="13" t="str">
        <f t="shared" si="7"/>
        <v>High Impact + High Risk</v>
      </c>
      <c r="N71" s="9"/>
      <c r="O71" s="9"/>
      <c r="P71" s="9"/>
      <c r="Q71" s="9"/>
      <c r="S71" s="7" t="s">
        <v>266</v>
      </c>
    </row>
    <row r="72" spans="1:19" s="14" customFormat="1" ht="21.75" customHeight="1" x14ac:dyDescent="0.35">
      <c r="A72" s="7">
        <v>168016</v>
      </c>
      <c r="B72" s="9" t="s">
        <v>268</v>
      </c>
      <c r="C72" s="9" t="s">
        <v>269</v>
      </c>
      <c r="D72" s="9" t="s">
        <v>90</v>
      </c>
      <c r="E72" s="10" t="s">
        <v>270</v>
      </c>
      <c r="F72" s="11">
        <v>35</v>
      </c>
      <c r="G72" s="11">
        <v>1</v>
      </c>
      <c r="H72" s="12">
        <v>4</v>
      </c>
      <c r="I72" s="12">
        <v>3</v>
      </c>
      <c r="J72" s="12">
        <v>4</v>
      </c>
      <c r="K72" s="12">
        <v>1</v>
      </c>
      <c r="L72" s="13">
        <f t="shared" si="6"/>
        <v>2.5</v>
      </c>
      <c r="M72" s="13" t="str">
        <f t="shared" si="7"/>
        <v>High Impact + Low Risk</v>
      </c>
      <c r="N72" s="9" t="s">
        <v>265</v>
      </c>
      <c r="O72" s="9" t="s">
        <v>265</v>
      </c>
      <c r="P72" s="9" t="s">
        <v>265</v>
      </c>
      <c r="Q72" s="9" t="s">
        <v>267</v>
      </c>
      <c r="R72" s="14" t="s">
        <v>265</v>
      </c>
      <c r="S72" s="7" t="s">
        <v>271</v>
      </c>
    </row>
    <row r="73" spans="1:19" s="14" customFormat="1" ht="21.75" customHeight="1" x14ac:dyDescent="0.35">
      <c r="A73" s="8">
        <v>258026</v>
      </c>
      <c r="B73" s="15" t="s">
        <v>272</v>
      </c>
      <c r="C73" s="15" t="s">
        <v>273</v>
      </c>
      <c r="D73" s="15" t="s">
        <v>90</v>
      </c>
      <c r="E73" s="16" t="s">
        <v>274</v>
      </c>
      <c r="F73" s="17">
        <v>42</v>
      </c>
      <c r="G73" s="17">
        <v>1</v>
      </c>
      <c r="H73" s="12">
        <v>4</v>
      </c>
      <c r="I73" s="12">
        <v>3</v>
      </c>
      <c r="J73" s="12">
        <v>4</v>
      </c>
      <c r="K73" s="12">
        <v>3</v>
      </c>
      <c r="L73" s="18">
        <f t="shared" ref="L73" si="8">IF(OR(I73="",J73="",K73="",G73=""),"",ROUND(G73*0.2+I73*0.3+J73*0.3+K73*0.2,2))</f>
        <v>2.9</v>
      </c>
      <c r="M73" s="18" t="str">
        <f t="shared" ref="M73" si="9">IF(OR(H73="",L73=""),"",IF(AND(H73&gt;=4,L73&gt;=3.5),"High Impact + High Risk",IF(AND(H73&gt;=4,L73&lt;3.5),"High Impact + Low Risk",IF(AND(H73&lt;4,L73&gt;=3.5),"Low Impact + High Risk","Low Impact + Low Risk"))))</f>
        <v>High Impact + Low Risk</v>
      </c>
      <c r="N73" s="15" t="s">
        <v>265</v>
      </c>
      <c r="O73" s="15" t="s">
        <v>265</v>
      </c>
      <c r="P73" s="15" t="s">
        <v>265</v>
      </c>
      <c r="Q73" s="15" t="s">
        <v>267</v>
      </c>
      <c r="R73" s="14" t="s">
        <v>265</v>
      </c>
      <c r="S73" s="8" t="s">
        <v>93</v>
      </c>
    </row>
  </sheetData>
  <autoFilter ref="A2:S73" xr:uid="{00000000-0001-0000-0000-000000000000}"/>
  <mergeCells count="1">
    <mergeCell ref="A1:Q1"/>
  </mergeCells>
  <dataValidations count="3">
    <dataValidation type="list" allowBlank="1" sqref="J3:K50 H3:H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2026-08-27T04:19:14Z</dcterms:modified>
  <dc:language>en-US</dc:language>
</cp:coreProperties>
</file>