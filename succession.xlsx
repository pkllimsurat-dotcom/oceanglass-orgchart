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"/>
    </mc:Choice>
  </mc:AlternateContent>
  <xr:revisionPtr revIDLastSave="107" documentId="11_5F82977463C85CFAEAEBB78CF37F07FAB65EC282" xr6:coauthVersionLast="47" xr6:coauthVersionMax="47" xr10:uidLastSave="{DA6D6F6C-5CEA-43A2-B8F4-8AF392D2A6F4}"/>
  <bookViews>
    <workbookView xWindow="-110" yWindow="-110" windowWidth="25820" windowHeight="13900" tabRatio="500" activeTab="1" xr2:uid="{00000000-000D-0000-FFFF-FFFF00000000}"/>
  </bookViews>
  <sheets>
    <sheet name="คำอธิบาย" sheetId="1" r:id="rId1"/>
    <sheet name="กรอกข้อมูล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2" i="2" l="1"/>
  <c r="L22" i="2" s="1"/>
  <c r="M22" i="2" s="1"/>
  <c r="G21" i="2"/>
  <c r="L21" i="2" s="1"/>
  <c r="M21" i="2" s="1"/>
  <c r="G20" i="2"/>
  <c r="L20" i="2" s="1"/>
  <c r="M20" i="2" s="1"/>
  <c r="G19" i="2"/>
  <c r="L19" i="2" s="1"/>
  <c r="M19" i="2" s="1"/>
  <c r="G18" i="2"/>
  <c r="L18" i="2" s="1"/>
  <c r="M18" i="2" s="1"/>
  <c r="G17" i="2"/>
  <c r="L17" i="2" s="1"/>
  <c r="M17" i="2" s="1"/>
  <c r="G16" i="2"/>
  <c r="L16" i="2" s="1"/>
  <c r="M16" i="2" s="1"/>
  <c r="G15" i="2"/>
  <c r="L15" i="2" s="1"/>
  <c r="M15" i="2" s="1"/>
  <c r="L14" i="2"/>
  <c r="M14" i="2" s="1"/>
  <c r="G14" i="2"/>
  <c r="L13" i="2"/>
  <c r="M13" i="2" s="1"/>
  <c r="G13" i="2"/>
  <c r="G12" i="2"/>
  <c r="L12" i="2" s="1"/>
  <c r="M12" i="2" s="1"/>
  <c r="G11" i="2"/>
  <c r="L11" i="2" s="1"/>
  <c r="M11" i="2" s="1"/>
  <c r="G10" i="2"/>
  <c r="L10" i="2" s="1"/>
  <c r="M10" i="2" s="1"/>
  <c r="G9" i="2"/>
  <c r="L9" i="2" s="1"/>
  <c r="M9" i="2" s="1"/>
  <c r="G8" i="2"/>
  <c r="L8" i="2" s="1"/>
  <c r="M8" i="2" s="1"/>
  <c r="G7" i="2"/>
  <c r="L7" i="2" s="1"/>
  <c r="M7" i="2" s="1"/>
  <c r="G6" i="2"/>
  <c r="L6" i="2" s="1"/>
  <c r="M6" i="2" s="1"/>
  <c r="L5" i="2"/>
  <c r="M5" i="2" s="1"/>
  <c r="G5" i="2"/>
  <c r="G4" i="2"/>
  <c r="L4" i="2" s="1"/>
  <c r="M4" i="2" s="1"/>
  <c r="G3" i="2"/>
  <c r="L3" i="2" s="1"/>
  <c r="M3" i="2" s="1"/>
</calcChain>
</file>

<file path=xl/sharedStrings.xml><?xml version="1.0" encoding="utf-8"?>
<sst xmlns="http://schemas.openxmlformats.org/spreadsheetml/2006/main" count="190" uniqueCount="178">
  <si>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</si>
  <si>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</si>
  <si>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Business Impact (ผลกระทบต่อธุรกิจ)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</si>
  <si>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</si>
  <si>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</si>
  <si>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</si>
  <si>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</si>
  <si>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</si>
  <si>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</si>
  <si>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</si>
  <si>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</si>
  <si>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</si>
  <si>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</si>
  <si>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</si>
  <si>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</si>
  <si>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</si>
  <si>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</si>
  <si>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Risk of Vacancy (ความเสี่ยงหากตำแหน่งว่าง)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</si>
  <si>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</si>
  <si>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</si>
  <si>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</si>
  <si>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</si>
  <si>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</si>
  <si>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</si>
  <si>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</si>
  <si>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</si>
  <si>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</si>
  <si>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</si>
  <si>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</si>
  <si>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</si>
  <si>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</si>
  <si>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</si>
  <si>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</si>
  <si>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</si>
  <si>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</si>
  <si>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</si>
  <si>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</si>
  <si>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</si>
  <si>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</si>
  <si>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</si>
  <si>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</si>
  <si>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</si>
  <si>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</si>
  <si>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</si>
  <si>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</si>
  <si>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</si>
  <si>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</si>
  <si>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</si>
  <si>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</si>
  <si>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</si>
  <si>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</si>
  <si>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</si>
  <si>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</si>
  <si>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</si>
  <si>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</si>
  <si>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</si>
  <si>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</si>
  <si>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</si>
  <si>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</si>
  <si>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</si>
  <si>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</si>
  <si>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</si>
  <si>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</si>
  <si>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</si>
  <si>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</si>
  <si>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 — รายชื่อ Key Position จะแสดงให้อัตโนมัติจากระบบ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</si>
  <si>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</si>
  <si>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</si>
  <si>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</si>
  <si>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</si>
  <si>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</si>
  <si>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7. บันทึกไฟล์แล้ว upload ขึ้น GitHub แทนไฟล์เดิม</t>
  </si>
  <si>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</si>
  <si>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</si>
  <si>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</si>
  <si>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</si>
  <si>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</si>
  <si>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</si>
  <si>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</si>
  <si>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</si>
  <si>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</si>
  <si>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</si>
  <si>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</si>
  <si>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</si>
  <si>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</si>
  <si>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</si>
  <si>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</si>
  <si>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</si>
  <si>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</si>
  <si>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</si>
  <si>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267071</t>
  </si>
  <si>
    <t>กฤษฎา น้อมสูงเนิน</t>
  </si>
  <si>
    <t>Section Manager - Inspection and Packing</t>
  </si>
  <si>
    <t>Key Position</t>
  </si>
  <si>
    <t>24/08/1978</t>
  </si>
  <si>
    <t>268051</t>
  </si>
  <si>
    <t>ปวริศ ด่านภู่วงศ์</t>
  </si>
  <si>
    <t>Engineer - Inspection &amp; Packing</t>
  </si>
  <si>
    <t>01/08/2002</t>
  </si>
  <si>
    <t>269032</t>
  </si>
  <si>
    <t>วินัย แสงโชติ</t>
  </si>
  <si>
    <t>Support Manager - Laboratory &amp; Quality System</t>
  </si>
  <si>
    <t>17/06/1983</t>
  </si>
  <si>
    <t>250051</t>
  </si>
  <si>
    <t>เจษฎา อิ่มไสว</t>
  </si>
  <si>
    <t>Section Manager - Quality Control</t>
  </si>
  <si>
    <t>07/10/1981</t>
  </si>
  <si>
    <t>168028</t>
  </si>
  <si>
    <t>สมเด็จ อัศวถาวร</t>
  </si>
  <si>
    <t>Section Manager - Asia Pacific</t>
  </si>
  <si>
    <t>Key Position Level B</t>
  </si>
  <si>
    <t>30/12/1984</t>
  </si>
  <si>
    <t>150026</t>
  </si>
  <si>
    <t>กนกวรรณ นาสูงชน</t>
  </si>
  <si>
    <t>Section Manager - Atlantic Ocean</t>
  </si>
  <si>
    <t>Key Position Level A</t>
  </si>
  <si>
    <t>24/03/1980</t>
  </si>
  <si>
    <t>147022</t>
  </si>
  <si>
    <t>จุฑามาส ศรีโมรา</t>
  </si>
  <si>
    <t>Section Manager - Trade Marketing and CCD Operations</t>
  </si>
  <si>
    <t>09/11/1979</t>
  </si>
  <si>
    <t>136049</t>
  </si>
  <si>
    <t>ธนพนธ์ สุวรานนท์</t>
  </si>
  <si>
    <t>Director - Thailand &amp; ASEAN</t>
  </si>
  <si>
    <t>17/07/1970</t>
  </si>
  <si>
    <t>161027</t>
  </si>
  <si>
    <t>ชนม์นิภา พันธุ์ศศินาถ</t>
  </si>
  <si>
    <t>Section Manager - SIMVP</t>
  </si>
  <si>
    <t>08/08/1986</t>
  </si>
  <si>
    <t>264090</t>
  </si>
  <si>
    <t>วัชระ สะติรัน</t>
  </si>
  <si>
    <t>Acting Department Manager - Batch and Furnace</t>
  </si>
  <si>
    <t>16/12/1986</t>
  </si>
  <si>
    <t>239006</t>
  </si>
  <si>
    <t>สมศักดิ์ นาคงาม</t>
  </si>
  <si>
    <t>Department Manager - Engineering</t>
  </si>
  <si>
    <t>Key Position Level B+</t>
  </si>
  <si>
    <t>03/09/1971</t>
  </si>
  <si>
    <t>246004</t>
  </si>
  <si>
    <t>ชานนท์ วชิรานุวงศ์</t>
  </si>
  <si>
    <t>Department Manager - Forming</t>
  </si>
  <si>
    <t xml:space="preserve">Key Position Level A- </t>
  </si>
  <si>
    <t>25/05/1977</t>
  </si>
  <si>
    <t>242032</t>
  </si>
  <si>
    <t>สุวิทย์ เทวสิริโชคชัย</t>
  </si>
  <si>
    <t>Acting Department Manager - Mold Design &amp; Innovation</t>
  </si>
  <si>
    <t xml:space="preserve">Key Position Level B+ </t>
  </si>
  <si>
    <t>17/12/1975</t>
  </si>
  <si>
    <t>149024</t>
  </si>
  <si>
    <t>ภัครวรรณ ปิ่นแก้ว</t>
  </si>
  <si>
    <t>Department Manager - Supply Planning</t>
  </si>
  <si>
    <t xml:space="preserve">Key Position Level C+ </t>
  </si>
  <si>
    <t>17/05/1971</t>
  </si>
  <si>
    <t>241009</t>
  </si>
  <si>
    <t>เวชยันต์ เงินศรีสุข</t>
  </si>
  <si>
    <t>Section Manager - Design &amp; Creative</t>
  </si>
  <si>
    <t>09/07/1977</t>
  </si>
  <si>
    <t>368001</t>
  </si>
  <si>
    <t>ภูวนารถ เตรียมการ</t>
  </si>
  <si>
    <t>Contract - Senior Product Designer</t>
  </si>
  <si>
    <t>14/12/1982</t>
  </si>
  <si>
    <t>148005</t>
  </si>
  <si>
    <t>วีรนุช ตรังค์ตระกูล</t>
  </si>
  <si>
    <t>Director - Marketing</t>
  </si>
  <si>
    <t>27/10/1974</t>
  </si>
  <si>
    <t>268029 A</t>
  </si>
  <si>
    <t>วุฒิชัย แสงสมชัยพิพัฒน์</t>
  </si>
  <si>
    <t>Acting Department Manager - Production Support &amp; Finished Products</t>
  </si>
  <si>
    <t xml:space="preserve">Key Position Level B </t>
  </si>
  <si>
    <t>04/02/1974</t>
  </si>
  <si>
    <t>656001</t>
  </si>
  <si>
    <t>Tarun Khattar</t>
  </si>
  <si>
    <t>Customer &amp; Channel Development Director - South Asia and Middle East</t>
  </si>
  <si>
    <t>16/07/1969</t>
  </si>
  <si>
    <t>656008</t>
  </si>
  <si>
    <t>Linqing Cai</t>
  </si>
  <si>
    <t>Senior Business Development Manager-China</t>
  </si>
  <si>
    <t>30/06/1993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</si>
</sst>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.5"/>
      <color rgb="FF1A1A1A"/>
      <name val="Arial"/>
      <charset val="1"/>
    </font>
    <font>
      <b/>
      <sz val="12"/>
      <color rgb="FFFFFFFF"/>
      <name val="Arial"/>
      <charset val="1"/>
    </font>
    <font>
      <sz val="10"/>
      <color rgb="FF1A1A1A"/>
      <name val="Arial"/>
      <charset val="1"/>
    </font>
    <font>
      <b/>
      <sz val="10"/>
      <color rgb="FFFFFFFF"/>
      <name val="Arial"/>
      <charset val="1"/>
    </font>
    <font>
      <b/>
      <sz val="10"/>
      <color rgb="FFDA1F26"/>
      <name val="Arial"/>
      <charset val="1"/>
    </font>
    <font>
      <sz val="10"/>
      <name val="Arial"/>
      <charset val="1"/>
    </font>
    <font>
      <b/>
      <sz val="10"/>
      <color rgb="FF1A1A1A"/>
      <name val="Arial"/>
      <charset val="1"/>
    </font>
    <font>
      <sz val="9.5"/>
      <color rgb="FF555555"/>
      <name val="Arial"/>
      <charset val="1"/>
    </font>
    <font>
      <b/>
      <sz val="10"/>
      <color rgb="FF0070C0"/>
      <name val="Arial"/>
      <charset val="1"/>
    </font>
    <font>
      <sz val="10"/>
      <color rgb="FF555555"/>
      <name val="Arial"/>
      <charset val="1"/>
    </font>
    <font>
      <b/>
      <sz val="13"/>
      <color rgb="FFFFFFFF"/>
      <name val="Arial"/>
      <charset val="1"/>
    </font>
    <font>
      <b/>
      <sz val="9.5"/>
      <color rgb="FFFFFFFF"/>
      <name val="Arial"/>
      <charset val="1"/>
    </font>
    <font>
      <sz val="9.5"/>
      <color rgb="FF1A1A1A"/>
      <name val="Arial"/>
      <charset val="1"/>
    </font>
    <font>
      <i/>
      <sz val="9.5"/>
      <color rgb="FF0070C0"/>
      <name val="Arial"/>
      <charset val="1"/>
    </font>
    <font>
      <b/>
      <sz val="9.5"/>
      <color rgb="FF1A1A1A"/>
      <name val="Arial"/>
      <charset val="1"/>
    </font>
    <font>
      <b/>
      <sz val="9.5"/>
      <color rgb="FFDA1F26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FFFF"/>
        <bgColor rgb="FFF5F5F5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5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indent="1"/>
    </xf>
    <xf numFmtId="0" fontId="14" fillId="9" borderId="1" xfId="0" applyFont="1" applyFill="1" applyBorder="1" applyAlignment="1">
      <alignment vertical="center" wrapText="1" indent="1"/>
    </xf>
    <xf numFmtId="0" fontId="15" fillId="9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4" fillId="11" borderId="1" xfId="0" applyFont="1" applyFill="1" applyBorder="1" applyAlignment="1">
      <alignment vertical="center" indent="1"/>
    </xf>
    <xf numFmtId="0" fontId="14" fillId="11" borderId="1" xfId="0" applyFont="1" applyFill="1" applyBorder="1" applyAlignment="1">
      <alignment vertical="center" wrapText="1" indent="1"/>
    </xf>
    <xf numFmtId="0" fontId="15" fillId="11" borderId="1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left" vertical="center" indent="1"/>
    </xf>
    <xf numFmtId="0" fontId="4" fillId="0" borderId="0" xfId="0" applyFont="1" applyAlignment="1">
      <alignment vertical="center" wrapText="1" indent="1"/>
    </xf>
    <xf numFmtId="0" fontId="3" fillId="3" borderId="0" xfId="0" applyFont="1" applyFill="1" applyAlignment="1">
      <alignment vertical="center" indent="1"/>
    </xf>
    <xf numFmtId="0" fontId="9" fillId="0" borderId="0" xfId="0" applyFont="1" applyAlignment="1">
      <alignment vertical="center" wrapText="1" indent="2"/>
    </xf>
    <xf numFmtId="0" fontId="5" fillId="7" borderId="2" xfId="0" applyFont="1" applyFill="1" applyBorder="1" applyAlignment="1">
      <alignment vertical="center" indent="1"/>
    </xf>
    <xf numFmtId="0" fontId="7" fillId="0" borderId="2" xfId="0" applyFont="1" applyBorder="1" applyAlignment="1">
      <alignment vertical="center" indent="1"/>
    </xf>
    <xf numFmtId="0" fontId="5" fillId="8" borderId="2" xfId="0" applyFont="1" applyFill="1" applyBorder="1" applyAlignment="1">
      <alignment vertical="center" indent="1"/>
    </xf>
    <xf numFmtId="0" fontId="11" fillId="0" borderId="0" xfId="0" applyFont="1" applyAlignment="1">
      <alignment vertical="center" wrapText="1" indent="1"/>
    </xf>
    <xf numFmtId="0" fontId="5" fillId="5" borderId="2" xfId="0" applyFont="1" applyFill="1" applyBorder="1" applyAlignment="1">
      <alignment vertical="center" indent="1"/>
    </xf>
    <xf numFmtId="0" fontId="5" fillId="6" borderId="2" xfId="0" applyFont="1" applyFill="1" applyBorder="1" applyAlignment="1">
      <alignment vertical="center" indent="1"/>
    </xf>
    <xf numFmtId="0" fontId="10" fillId="0" borderId="0" xfId="0" applyFont="1" applyAlignment="1">
      <alignment vertical="center" wrapText="1" indent="1"/>
    </xf>
    <xf numFmtId="0" fontId="8" fillId="0" borderId="0" xfId="0" applyFont="1" applyAlignment="1">
      <alignment vertical="center" wrapText="1" indent="1"/>
    </xf>
    <xf numFmtId="0" fontId="7" fillId="0" borderId="2" xfId="0" applyFont="1" applyBorder="1" applyAlignment="1">
      <alignment vertical="center" indent="2"/>
    </xf>
    <xf numFmtId="0" fontId="6" fillId="0" borderId="2" xfId="0" applyFont="1" applyBorder="1" applyAlignment="1">
      <alignment horizontal="center" vertical="center"/>
    </xf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 indent="1"/>
    </xf>
    <xf numFmtId="0" fontId="5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5F5F5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5"/>
  <sheetViews>
    <sheetView showGridLines="0" zoomScaleNormal="100" workbookViewId="0">
      <selection sqref="A1:XFD1048576"/>
    </sheetView>
  </sheetViews>
  <sheetFormatPr defaultColWidth="8.6328125" defaultRowHeight="14.5" x14ac:dyDescent="0.35"/>
  <cols>
    <col min="1" max="1" width="14" customWidth="1"/>
    <col min="2" max="2" width="46" customWidth="1"/>
    <col min="3" max="6" width="14" customWidth="1"/>
  </cols>
  <sheetData>
    <row r="1" spans="1:6" ht="36" customHeight="1" x14ac:dyDescent="0.35">
      <c r="A1" s="29" t="s">
        <v>0</v>
      </c>
      <c r="B1" s="29"/>
      <c r="C1" s="29"/>
      <c r="D1" s="29"/>
      <c r="E1" s="29"/>
      <c r="F1" s="29"/>
    </row>
    <row r="3" spans="1:6" ht="19.5" customHeight="1" x14ac:dyDescent="0.35">
      <c r="A3" s="30" t="s">
        <v>1</v>
      </c>
      <c r="B3" s="30"/>
      <c r="C3" s="30"/>
      <c r="D3" s="30"/>
      <c r="E3" s="30"/>
      <c r="F3" s="30"/>
    </row>
    <row r="5" spans="1:6" ht="25.5" customHeight="1" x14ac:dyDescent="0.35">
      <c r="A5" s="17" t="s">
        <v>2</v>
      </c>
      <c r="B5" s="17"/>
      <c r="C5" s="17"/>
      <c r="D5" s="17"/>
      <c r="E5" s="17"/>
      <c r="F5" s="17"/>
    </row>
    <row r="6" spans="1:6" ht="19.5" customHeight="1" x14ac:dyDescent="0.35">
      <c r="A6" s="16" t="s">
        <v>3</v>
      </c>
      <c r="B6" s="16"/>
      <c r="C6" s="16"/>
      <c r="D6" s="16"/>
      <c r="E6" s="16"/>
      <c r="F6" s="16"/>
    </row>
    <row r="7" spans="1:6" x14ac:dyDescent="0.35">
      <c r="A7" s="1" t="s">
        <v>4</v>
      </c>
      <c r="B7" s="31" t="s">
        <v>5</v>
      </c>
      <c r="C7" s="31"/>
      <c r="D7" s="31"/>
      <c r="E7" s="31"/>
      <c r="F7" s="31"/>
    </row>
    <row r="8" spans="1:6" x14ac:dyDescent="0.35">
      <c r="A8" s="2">
        <v>1</v>
      </c>
      <c r="B8" s="20" t="s">
        <v>6</v>
      </c>
      <c r="C8" s="20"/>
      <c r="D8" s="20"/>
      <c r="E8" s="20"/>
      <c r="F8" s="20"/>
    </row>
    <row r="9" spans="1:6" x14ac:dyDescent="0.35">
      <c r="A9" s="2">
        <v>2</v>
      </c>
      <c r="B9" s="20" t="s">
        <v>7</v>
      </c>
      <c r="C9" s="20"/>
      <c r="D9" s="20"/>
      <c r="E9" s="20"/>
      <c r="F9" s="20"/>
    </row>
    <row r="10" spans="1:6" x14ac:dyDescent="0.35">
      <c r="A10" s="2">
        <v>3</v>
      </c>
      <c r="B10" s="20" t="s">
        <v>8</v>
      </c>
      <c r="C10" s="20"/>
      <c r="D10" s="20"/>
      <c r="E10" s="20"/>
      <c r="F10" s="20"/>
    </row>
    <row r="11" spans="1:6" x14ac:dyDescent="0.35">
      <c r="A11" s="2">
        <v>4</v>
      </c>
      <c r="B11" s="20" t="s">
        <v>9</v>
      </c>
      <c r="C11" s="20"/>
      <c r="D11" s="20"/>
      <c r="E11" s="20"/>
      <c r="F11" s="20"/>
    </row>
    <row r="12" spans="1:6" x14ac:dyDescent="0.35">
      <c r="A12" s="2">
        <v>5</v>
      </c>
      <c r="B12" s="20" t="s">
        <v>10</v>
      </c>
      <c r="C12" s="20"/>
      <c r="D12" s="20"/>
      <c r="E12" s="20"/>
      <c r="F12" s="20"/>
    </row>
    <row r="14" spans="1:6" ht="19.5" customHeight="1" x14ac:dyDescent="0.35">
      <c r="A14" s="26" t="s">
        <v>11</v>
      </c>
      <c r="B14" s="26"/>
      <c r="C14" s="26"/>
      <c r="D14" s="26"/>
      <c r="E14" s="26"/>
      <c r="F14" s="26"/>
    </row>
    <row r="15" spans="1:6" ht="19.5" customHeight="1" x14ac:dyDescent="0.35">
      <c r="A15" s="18" t="s">
        <v>12</v>
      </c>
      <c r="B15" s="18"/>
      <c r="C15" s="18"/>
      <c r="D15" s="18"/>
      <c r="E15" s="18"/>
      <c r="F15" s="18"/>
    </row>
    <row r="16" spans="1:6" ht="19.5" customHeight="1" x14ac:dyDescent="0.35">
      <c r="A16" s="18" t="s">
        <v>13</v>
      </c>
      <c r="B16" s="18"/>
      <c r="C16" s="18"/>
      <c r="D16" s="18"/>
      <c r="E16" s="18"/>
      <c r="F16" s="18"/>
    </row>
    <row r="17" spans="1:6" ht="19.5" customHeight="1" x14ac:dyDescent="0.35">
      <c r="A17" s="18" t="s">
        <v>14</v>
      </c>
      <c r="B17" s="18"/>
      <c r="C17" s="18"/>
      <c r="D17" s="18"/>
      <c r="E17" s="18"/>
      <c r="F17" s="18"/>
    </row>
    <row r="18" spans="1:6" ht="19.5" customHeight="1" x14ac:dyDescent="0.35">
      <c r="A18" s="18" t="s">
        <v>15</v>
      </c>
      <c r="B18" s="18"/>
      <c r="C18" s="18"/>
      <c r="D18" s="18"/>
      <c r="E18" s="18"/>
      <c r="F18" s="18"/>
    </row>
    <row r="19" spans="1:6" ht="19.5" customHeight="1" x14ac:dyDescent="0.35">
      <c r="A19" s="18" t="s">
        <v>16</v>
      </c>
      <c r="B19" s="18"/>
      <c r="C19" s="18"/>
      <c r="D19" s="18"/>
      <c r="E19" s="18"/>
      <c r="F19" s="18"/>
    </row>
    <row r="21" spans="1:6" ht="25.5" customHeight="1" x14ac:dyDescent="0.35">
      <c r="A21" s="17" t="s">
        <v>17</v>
      </c>
      <c r="B21" s="17"/>
      <c r="C21" s="17"/>
      <c r="D21" s="17"/>
      <c r="E21" s="17"/>
      <c r="F21" s="17"/>
    </row>
    <row r="22" spans="1:6" ht="19.5" customHeight="1" x14ac:dyDescent="0.35">
      <c r="A22" s="26" t="s">
        <v>18</v>
      </c>
      <c r="B22" s="26"/>
      <c r="C22" s="26"/>
      <c r="D22" s="26"/>
      <c r="E22" s="26"/>
      <c r="F22" s="26"/>
    </row>
    <row r="24" spans="1:6" ht="19.5" customHeight="1" x14ac:dyDescent="0.35">
      <c r="A24" s="25" t="s">
        <v>19</v>
      </c>
      <c r="B24" s="25"/>
      <c r="C24" s="25"/>
      <c r="D24" s="25"/>
      <c r="E24" s="25"/>
      <c r="F24" s="25"/>
    </row>
    <row r="25" spans="1:6" x14ac:dyDescent="0.35">
      <c r="A25" s="27" t="s">
        <v>20</v>
      </c>
      <c r="B25" s="27"/>
      <c r="C25" s="27"/>
      <c r="D25" s="27"/>
      <c r="E25" s="28" t="s">
        <v>21</v>
      </c>
      <c r="F25" s="28"/>
    </row>
    <row r="26" spans="1:6" x14ac:dyDescent="0.35">
      <c r="A26" s="27" t="s">
        <v>22</v>
      </c>
      <c r="B26" s="27"/>
      <c r="C26" s="27"/>
      <c r="D26" s="27"/>
      <c r="E26" s="28" t="s">
        <v>23</v>
      </c>
      <c r="F26" s="28"/>
    </row>
    <row r="27" spans="1:6" x14ac:dyDescent="0.35">
      <c r="A27" s="27" t="s">
        <v>24</v>
      </c>
      <c r="B27" s="27"/>
      <c r="C27" s="27"/>
      <c r="D27" s="27"/>
      <c r="E27" s="28" t="s">
        <v>25</v>
      </c>
      <c r="F27" s="28"/>
    </row>
    <row r="28" spans="1:6" x14ac:dyDescent="0.35">
      <c r="A28" s="27" t="s">
        <v>26</v>
      </c>
      <c r="B28" s="27"/>
      <c r="C28" s="27"/>
      <c r="D28" s="27"/>
      <c r="E28" s="28" t="s">
        <v>27</v>
      </c>
      <c r="F28" s="28"/>
    </row>
    <row r="29" spans="1:6" x14ac:dyDescent="0.35">
      <c r="A29" s="27" t="s">
        <v>28</v>
      </c>
      <c r="B29" s="27"/>
      <c r="C29" s="27"/>
      <c r="D29" s="27"/>
      <c r="E29" s="28" t="s">
        <v>29</v>
      </c>
      <c r="F29" s="28"/>
    </row>
    <row r="31" spans="1:6" ht="19.5" customHeight="1" x14ac:dyDescent="0.35">
      <c r="A31" s="26" t="s">
        <v>30</v>
      </c>
      <c r="B31" s="26"/>
      <c r="C31" s="26"/>
      <c r="D31" s="26"/>
      <c r="E31" s="26"/>
      <c r="F31" s="26"/>
    </row>
    <row r="32" spans="1:6" x14ac:dyDescent="0.35">
      <c r="A32" s="2">
        <v>1</v>
      </c>
      <c r="B32" s="20" t="s">
        <v>31</v>
      </c>
      <c r="C32" s="20"/>
      <c r="D32" s="20"/>
      <c r="E32" s="20"/>
      <c r="F32" s="20"/>
    </row>
    <row r="33" spans="1:6" x14ac:dyDescent="0.35">
      <c r="A33" s="2">
        <v>3</v>
      </c>
      <c r="B33" s="20" t="s">
        <v>32</v>
      </c>
      <c r="C33" s="20"/>
      <c r="D33" s="20"/>
      <c r="E33" s="20"/>
      <c r="F33" s="20"/>
    </row>
    <row r="34" spans="1:6" x14ac:dyDescent="0.35">
      <c r="A34" s="2">
        <v>5</v>
      </c>
      <c r="B34" s="20" t="s">
        <v>33</v>
      </c>
      <c r="C34" s="20"/>
      <c r="D34" s="20"/>
      <c r="E34" s="20"/>
      <c r="F34" s="20"/>
    </row>
    <row r="36" spans="1:6" ht="19.5" customHeight="1" x14ac:dyDescent="0.35">
      <c r="A36" s="26" t="s">
        <v>34</v>
      </c>
      <c r="B36" s="26"/>
      <c r="C36" s="26"/>
      <c r="D36" s="26"/>
      <c r="E36" s="26"/>
      <c r="F36" s="26"/>
    </row>
    <row r="37" spans="1:6" x14ac:dyDescent="0.35">
      <c r="A37" s="2">
        <v>1</v>
      </c>
      <c r="B37" s="20" t="s">
        <v>35</v>
      </c>
      <c r="C37" s="20"/>
      <c r="D37" s="20"/>
      <c r="E37" s="20"/>
      <c r="F37" s="20"/>
    </row>
    <row r="38" spans="1:6" x14ac:dyDescent="0.35">
      <c r="A38" s="2">
        <v>2</v>
      </c>
      <c r="B38" s="20" t="s">
        <v>36</v>
      </c>
      <c r="C38" s="20"/>
      <c r="D38" s="20"/>
      <c r="E38" s="20"/>
      <c r="F38" s="20"/>
    </row>
    <row r="39" spans="1:6" x14ac:dyDescent="0.35">
      <c r="A39" s="2">
        <v>3</v>
      </c>
      <c r="B39" s="20" t="s">
        <v>37</v>
      </c>
      <c r="C39" s="20"/>
      <c r="D39" s="20"/>
      <c r="E39" s="20"/>
      <c r="F39" s="20"/>
    </row>
    <row r="40" spans="1:6" x14ac:dyDescent="0.35">
      <c r="A40" s="2">
        <v>4</v>
      </c>
      <c r="B40" s="20" t="s">
        <v>38</v>
      </c>
      <c r="C40" s="20"/>
      <c r="D40" s="20"/>
      <c r="E40" s="20"/>
      <c r="F40" s="20"/>
    </row>
    <row r="41" spans="1:6" x14ac:dyDescent="0.35">
      <c r="A41" s="2">
        <v>5</v>
      </c>
      <c r="B41" s="20" t="s">
        <v>39</v>
      </c>
      <c r="C41" s="20"/>
      <c r="D41" s="20"/>
      <c r="E41" s="20"/>
      <c r="F41" s="20"/>
    </row>
    <row r="43" spans="1:6" ht="19.5" customHeight="1" x14ac:dyDescent="0.35">
      <c r="A43" s="26" t="s">
        <v>40</v>
      </c>
      <c r="B43" s="26"/>
      <c r="C43" s="26"/>
      <c r="D43" s="26"/>
      <c r="E43" s="26"/>
      <c r="F43" s="26"/>
    </row>
    <row r="44" spans="1:6" x14ac:dyDescent="0.35">
      <c r="A44" s="2">
        <v>1</v>
      </c>
      <c r="B44" s="20" t="s">
        <v>41</v>
      </c>
      <c r="C44" s="20"/>
      <c r="D44" s="20"/>
      <c r="E44" s="20"/>
      <c r="F44" s="20"/>
    </row>
    <row r="45" spans="1:6" x14ac:dyDescent="0.35">
      <c r="A45" s="2">
        <v>2</v>
      </c>
      <c r="B45" s="20" t="s">
        <v>42</v>
      </c>
      <c r="C45" s="20"/>
      <c r="D45" s="20"/>
      <c r="E45" s="20"/>
      <c r="F45" s="20"/>
    </row>
    <row r="46" spans="1:6" x14ac:dyDescent="0.35">
      <c r="A46" s="2">
        <v>3</v>
      </c>
      <c r="B46" s="20" t="s">
        <v>43</v>
      </c>
      <c r="C46" s="20"/>
      <c r="D46" s="20"/>
      <c r="E46" s="20"/>
      <c r="F46" s="20"/>
    </row>
    <row r="47" spans="1:6" x14ac:dyDescent="0.35">
      <c r="A47" s="2">
        <v>4</v>
      </c>
      <c r="B47" s="20" t="s">
        <v>44</v>
      </c>
      <c r="C47" s="20"/>
      <c r="D47" s="20"/>
      <c r="E47" s="20"/>
      <c r="F47" s="20"/>
    </row>
    <row r="48" spans="1:6" x14ac:dyDescent="0.35">
      <c r="A48" s="2">
        <v>5</v>
      </c>
      <c r="B48" s="20" t="s">
        <v>45</v>
      </c>
      <c r="C48" s="20"/>
      <c r="D48" s="20"/>
      <c r="E48" s="20"/>
      <c r="F48" s="20"/>
    </row>
    <row r="50" spans="1:6" ht="25.5" customHeight="1" x14ac:dyDescent="0.35">
      <c r="A50" s="17" t="s">
        <v>46</v>
      </c>
      <c r="B50" s="17"/>
      <c r="C50" s="17"/>
      <c r="D50" s="17"/>
      <c r="E50" s="17"/>
      <c r="F50" s="17"/>
    </row>
    <row r="51" spans="1:6" ht="19.5" customHeight="1" x14ac:dyDescent="0.35">
      <c r="A51" s="25" t="s">
        <v>47</v>
      </c>
      <c r="B51" s="25"/>
      <c r="C51" s="25"/>
      <c r="D51" s="25"/>
      <c r="E51" s="25"/>
      <c r="F51" s="25"/>
    </row>
    <row r="52" spans="1:6" ht="19.5" customHeight="1" x14ac:dyDescent="0.35">
      <c r="A52" s="22" t="s">
        <v>48</v>
      </c>
      <c r="B52" s="22"/>
      <c r="C52" s="22"/>
      <c r="D52" s="22"/>
      <c r="E52" s="22"/>
      <c r="F52" s="22"/>
    </row>
    <row r="54" spans="1:6" ht="25.5" customHeight="1" x14ac:dyDescent="0.35">
      <c r="A54" s="17" t="s">
        <v>49</v>
      </c>
      <c r="B54" s="17"/>
      <c r="C54" s="17"/>
      <c r="D54" s="17"/>
      <c r="E54" s="17"/>
      <c r="F54" s="17"/>
    </row>
    <row r="55" spans="1:6" x14ac:dyDescent="0.35">
      <c r="A55" s="23" t="s">
        <v>50</v>
      </c>
      <c r="B55" s="23"/>
      <c r="C55" s="23"/>
      <c r="D55" s="20" t="s">
        <v>51</v>
      </c>
      <c r="E55" s="20"/>
      <c r="F55" s="20"/>
    </row>
    <row r="56" spans="1:6" x14ac:dyDescent="0.35">
      <c r="A56" s="24" t="s">
        <v>52</v>
      </c>
      <c r="B56" s="24"/>
      <c r="C56" s="24"/>
      <c r="D56" s="20" t="s">
        <v>53</v>
      </c>
      <c r="E56" s="20"/>
      <c r="F56" s="20"/>
    </row>
    <row r="57" spans="1:6" x14ac:dyDescent="0.35">
      <c r="A57" s="19" t="s">
        <v>54</v>
      </c>
      <c r="B57" s="19"/>
      <c r="C57" s="19"/>
      <c r="D57" s="20" t="s">
        <v>55</v>
      </c>
      <c r="E57" s="20"/>
      <c r="F57" s="20"/>
    </row>
    <row r="58" spans="1:6" x14ac:dyDescent="0.35">
      <c r="A58" s="21" t="s">
        <v>56</v>
      </c>
      <c r="B58" s="21"/>
      <c r="C58" s="21"/>
      <c r="D58" s="20" t="s">
        <v>57</v>
      </c>
      <c r="E58" s="20"/>
      <c r="F58" s="20"/>
    </row>
    <row r="61" spans="1:6" ht="25.5" customHeight="1" x14ac:dyDescent="0.35">
      <c r="A61" s="17" t="s">
        <v>58</v>
      </c>
      <c r="B61" s="17"/>
      <c r="C61" s="17"/>
      <c r="D61" s="17"/>
      <c r="E61" s="17"/>
      <c r="F61" s="17"/>
    </row>
    <row r="62" spans="1:6" ht="19.5" customHeight="1" x14ac:dyDescent="0.35">
      <c r="A62" s="16" t="s">
        <v>59</v>
      </c>
      <c r="B62" s="16"/>
      <c r="C62" s="16"/>
      <c r="D62" s="16"/>
      <c r="E62" s="16"/>
      <c r="F62" s="16"/>
    </row>
    <row r="63" spans="1:6" ht="19.5" customHeight="1" x14ac:dyDescent="0.35">
      <c r="A63" s="18" t="s">
        <v>60</v>
      </c>
      <c r="B63" s="18"/>
      <c r="C63" s="18"/>
      <c r="D63" s="18"/>
      <c r="E63" s="18"/>
      <c r="F63" s="18"/>
    </row>
    <row r="64" spans="1:6" ht="19.5" customHeight="1" x14ac:dyDescent="0.35">
      <c r="A64" s="18" t="s">
        <v>61</v>
      </c>
      <c r="B64" s="18"/>
      <c r="C64" s="18"/>
      <c r="D64" s="18"/>
      <c r="E64" s="18"/>
      <c r="F64" s="18"/>
    </row>
    <row r="65" spans="1:6" ht="19.5" customHeight="1" x14ac:dyDescent="0.35">
      <c r="A65" s="18" t="s">
        <v>62</v>
      </c>
      <c r="B65" s="18"/>
      <c r="C65" s="18"/>
      <c r="D65" s="18"/>
      <c r="E65" s="18"/>
      <c r="F65" s="18"/>
    </row>
    <row r="66" spans="1:6" ht="19.5" customHeight="1" x14ac:dyDescent="0.35">
      <c r="A66" s="18" t="s">
        <v>63</v>
      </c>
      <c r="B66" s="18"/>
      <c r="C66" s="18"/>
      <c r="D66" s="18"/>
      <c r="E66" s="18"/>
      <c r="F66" s="18"/>
    </row>
    <row r="68" spans="1:6" ht="25.5" customHeight="1" x14ac:dyDescent="0.35">
      <c r="A68" s="17" t="s">
        <v>64</v>
      </c>
      <c r="B68" s="17"/>
      <c r="C68" s="17"/>
      <c r="D68" s="17"/>
      <c r="E68" s="17"/>
      <c r="F68" s="17"/>
    </row>
    <row r="69" spans="1:6" ht="19.5" customHeight="1" x14ac:dyDescent="0.35">
      <c r="A69" s="16" t="s">
        <v>65</v>
      </c>
      <c r="B69" s="16"/>
      <c r="C69" s="16"/>
      <c r="D69" s="16"/>
      <c r="E69" s="16"/>
      <c r="F69" s="16"/>
    </row>
    <row r="70" spans="1:6" ht="19.5" customHeight="1" x14ac:dyDescent="0.35">
      <c r="A70" s="16" t="s">
        <v>66</v>
      </c>
      <c r="B70" s="16"/>
      <c r="C70" s="16"/>
      <c r="D70" s="16"/>
      <c r="E70" s="16"/>
      <c r="F70" s="16"/>
    </row>
    <row r="71" spans="1:6" ht="19.5" customHeight="1" x14ac:dyDescent="0.35">
      <c r="A71" s="16" t="s">
        <v>67</v>
      </c>
      <c r="B71" s="16"/>
      <c r="C71" s="16"/>
      <c r="D71" s="16"/>
      <c r="E71" s="16"/>
      <c r="F71" s="16"/>
    </row>
    <row r="72" spans="1:6" ht="19.5" customHeight="1" x14ac:dyDescent="0.35">
      <c r="A72" s="16" t="s">
        <v>68</v>
      </c>
      <c r="B72" s="16"/>
      <c r="C72" s="16"/>
      <c r="D72" s="16"/>
      <c r="E72" s="16"/>
      <c r="F72" s="16"/>
    </row>
    <row r="73" spans="1:6" ht="19.5" customHeight="1" x14ac:dyDescent="0.35">
      <c r="A73" s="16" t="s">
        <v>69</v>
      </c>
      <c r="B73" s="16"/>
      <c r="C73" s="16"/>
      <c r="D73" s="16"/>
      <c r="E73" s="16"/>
      <c r="F73" s="16"/>
    </row>
    <row r="74" spans="1:6" ht="19.5" customHeight="1" x14ac:dyDescent="0.35">
      <c r="A74" s="16" t="s">
        <v>70</v>
      </c>
      <c r="B74" s="16"/>
      <c r="C74" s="16"/>
      <c r="D74" s="16"/>
      <c r="E74" s="16"/>
      <c r="F74" s="16"/>
    </row>
    <row r="75" spans="1:6" ht="19.5" customHeight="1" x14ac:dyDescent="0.35">
      <c r="A75" s="16" t="s">
        <v>71</v>
      </c>
      <c r="B75" s="16"/>
      <c r="C75" s="16"/>
      <c r="D75" s="16"/>
      <c r="E75" s="16"/>
      <c r="F75" s="16"/>
    </row>
  </sheetData>
  <mergeCells count="71">
    <mergeCell ref="A1:F1"/>
    <mergeCell ref="A3:F3"/>
    <mergeCell ref="A5:F5"/>
    <mergeCell ref="A6:F6"/>
    <mergeCell ref="B7:F7"/>
    <mergeCell ref="B8:F8"/>
    <mergeCell ref="B9:F9"/>
    <mergeCell ref="B10:F10"/>
    <mergeCell ref="B11:F11"/>
    <mergeCell ref="B12:F12"/>
    <mergeCell ref="A14:F14"/>
    <mergeCell ref="A15:F15"/>
    <mergeCell ref="A16:F16"/>
    <mergeCell ref="A17:F17"/>
    <mergeCell ref="A18:F18"/>
    <mergeCell ref="A19:F19"/>
    <mergeCell ref="A21:F21"/>
    <mergeCell ref="A22:F22"/>
    <mergeCell ref="A24:F24"/>
    <mergeCell ref="A25:D25"/>
    <mergeCell ref="E25:F25"/>
    <mergeCell ref="A26:D26"/>
    <mergeCell ref="E26:F26"/>
    <mergeCell ref="A27:D27"/>
    <mergeCell ref="E27:F27"/>
    <mergeCell ref="A28:D28"/>
    <mergeCell ref="E28:F28"/>
    <mergeCell ref="A29:D29"/>
    <mergeCell ref="E29:F29"/>
    <mergeCell ref="A31:F31"/>
    <mergeCell ref="B32:F32"/>
    <mergeCell ref="B33:F33"/>
    <mergeCell ref="B34:F34"/>
    <mergeCell ref="A36:F36"/>
    <mergeCell ref="B37:F37"/>
    <mergeCell ref="B38:F38"/>
    <mergeCell ref="B39:F39"/>
    <mergeCell ref="B40:F40"/>
    <mergeCell ref="B41:F41"/>
    <mergeCell ref="A43:F43"/>
    <mergeCell ref="B44:F44"/>
    <mergeCell ref="B45:F45"/>
    <mergeCell ref="B46:F46"/>
    <mergeCell ref="B47:F47"/>
    <mergeCell ref="B48:F48"/>
    <mergeCell ref="A50:F50"/>
    <mergeCell ref="A51:F51"/>
    <mergeCell ref="A52:F52"/>
    <mergeCell ref="A54:F54"/>
    <mergeCell ref="A55:C55"/>
    <mergeCell ref="D55:F55"/>
    <mergeCell ref="A56:C56"/>
    <mergeCell ref="D56:F56"/>
    <mergeCell ref="A57:C57"/>
    <mergeCell ref="D57:F57"/>
    <mergeCell ref="A58:C58"/>
    <mergeCell ref="D58:F58"/>
    <mergeCell ref="A61:F61"/>
    <mergeCell ref="A62:F62"/>
    <mergeCell ref="A63:F63"/>
    <mergeCell ref="A64:F64"/>
    <mergeCell ref="A65:F65"/>
    <mergeCell ref="A66:F66"/>
    <mergeCell ref="A73:F73"/>
    <mergeCell ref="A74:F74"/>
    <mergeCell ref="A75:F75"/>
    <mergeCell ref="A68:F68"/>
    <mergeCell ref="A69:F69"/>
    <mergeCell ref="A70:F70"/>
    <mergeCell ref="A71:F71"/>
    <mergeCell ref="A72:F7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2"/>
  <sheetViews>
    <sheetView showGridLines="0" tabSelected="1" zoomScaleNormal="100" workbookViewId="0">
      <pane xSplit="2" ySplit="2" topLeftCell="C7" activePane="bottomRight" state="frozen"/>
      <selection pane="topRight" activeCell="C1" sqref="C1"/>
      <selection pane="bottomLeft" activeCell="A3" sqref="A3"/>
      <selection pane="bottomRight" activeCell="D13" sqref="D13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8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2" customWidth="1"/>
    <col min="14" max="14" width="20" customWidth="1"/>
    <col min="15" max="15" width="18" customWidth="1"/>
    <col min="16" max="16" width="26" customWidth="1"/>
    <col min="17" max="17" width="24" customWidth="1"/>
  </cols>
  <sheetData>
    <row r="1" spans="1:17" ht="31.5" customHeight="1" x14ac:dyDescent="0.35">
      <c r="A1" s="15" t="s">
        <v>72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</row>
    <row r="2" spans="1:17" ht="33.75" customHeight="1" x14ac:dyDescent="0.35">
      <c r="A2" s="3" t="s">
        <v>73</v>
      </c>
      <c r="B2" s="3" t="s">
        <v>74</v>
      </c>
      <c r="C2" s="3" t="s">
        <v>75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80</v>
      </c>
      <c r="I2" s="3" t="s">
        <v>81</v>
      </c>
      <c r="J2" s="3" t="s">
        <v>82</v>
      </c>
      <c r="K2" s="3" t="s">
        <v>83</v>
      </c>
      <c r="L2" s="3" t="s">
        <v>84</v>
      </c>
      <c r="M2" s="3" t="s">
        <v>85</v>
      </c>
      <c r="N2" s="3" t="s">
        <v>86</v>
      </c>
      <c r="O2" s="3" t="s">
        <v>87</v>
      </c>
      <c r="P2" s="3" t="s">
        <v>88</v>
      </c>
      <c r="Q2" s="3" t="s">
        <v>89</v>
      </c>
    </row>
    <row r="3" spans="1:17" ht="21.75" customHeight="1" x14ac:dyDescent="0.35">
      <c r="A3" s="4" t="s">
        <v>90</v>
      </c>
      <c r="B3" s="4" t="s">
        <v>91</v>
      </c>
      <c r="C3" s="5" t="s">
        <v>92</v>
      </c>
      <c r="D3" s="4" t="s">
        <v>93</v>
      </c>
      <c r="E3" s="4" t="s">
        <v>94</v>
      </c>
      <c r="F3" s="6">
        <v>47</v>
      </c>
      <c r="G3" s="6">
        <f t="shared" ref="G3:G22" si="0">IF(F3="","",IF(F3&lt;50,1,IF(F3&lt;55,2,IF(F3&lt;58,3,IF(F3&lt;60,4,5)))))</f>
        <v>1</v>
      </c>
      <c r="H3" s="7">
        <v>2</v>
      </c>
      <c r="I3" s="7">
        <v>1</v>
      </c>
      <c r="J3" s="7">
        <v>2</v>
      </c>
      <c r="K3" s="7">
        <v>3</v>
      </c>
      <c r="L3" s="8">
        <f t="shared" ref="L3:L22" si="1">IF(OR(I3="",J3="",K3="",G3=""),"",ROUND(G3*0.2+I3*0.3+J3*0.3+K3*0.2,2))</f>
        <v>1.7</v>
      </c>
      <c r="M3" s="9" t="str">
        <f t="shared" ref="M3:M22" si="2">IF(OR(H3="",L3=""),"",IF(AND(H3&gt;=4,L3&gt;=3.5),"High Impact + High Risk",IF(AND(H3&gt;=4,L3&lt;3.5),"High Impact + Low Risk",IF(AND(H3&lt;4,L3&gt;=3.5),"Low Impact + High Risk","Low Impact + Low Risk"))))</f>
        <v>Low Impact + Low Risk</v>
      </c>
      <c r="N3" s="4"/>
      <c r="O3" s="4"/>
      <c r="P3" s="4"/>
      <c r="Q3" s="4"/>
    </row>
    <row r="4" spans="1:17" ht="21.75" customHeight="1" x14ac:dyDescent="0.35">
      <c r="A4" s="10" t="s">
        <v>95</v>
      </c>
      <c r="B4" s="10" t="s">
        <v>96</v>
      </c>
      <c r="C4" s="11" t="s">
        <v>97</v>
      </c>
      <c r="D4" s="10" t="s">
        <v>93</v>
      </c>
      <c r="E4" s="10" t="s">
        <v>98</v>
      </c>
      <c r="F4" s="12">
        <v>23</v>
      </c>
      <c r="G4" s="12">
        <f t="shared" si="0"/>
        <v>1</v>
      </c>
      <c r="H4" s="7">
        <v>2</v>
      </c>
      <c r="I4" s="7">
        <v>5</v>
      </c>
      <c r="J4" s="7">
        <v>1</v>
      </c>
      <c r="K4" s="7">
        <v>2</v>
      </c>
      <c r="L4" s="13">
        <f t="shared" si="1"/>
        <v>2.4</v>
      </c>
      <c r="M4" s="14" t="str">
        <f t="shared" si="2"/>
        <v>Low Impact + Low Risk</v>
      </c>
      <c r="N4" s="10"/>
      <c r="O4" s="10"/>
      <c r="P4" s="10"/>
      <c r="Q4" s="10"/>
    </row>
    <row r="5" spans="1:17" ht="21.75" customHeight="1" x14ac:dyDescent="0.35">
      <c r="A5" s="4" t="s">
        <v>99</v>
      </c>
      <c r="B5" s="4" t="s">
        <v>100</v>
      </c>
      <c r="C5" s="5" t="s">
        <v>101</v>
      </c>
      <c r="D5" s="4" t="s">
        <v>93</v>
      </c>
      <c r="E5" s="4" t="s">
        <v>102</v>
      </c>
      <c r="F5" s="6">
        <v>43</v>
      </c>
      <c r="G5" s="6">
        <f t="shared" si="0"/>
        <v>1</v>
      </c>
      <c r="H5" s="7">
        <v>3</v>
      </c>
      <c r="I5" s="7">
        <v>3</v>
      </c>
      <c r="J5" s="7">
        <v>3</v>
      </c>
      <c r="K5" s="7">
        <v>3</v>
      </c>
      <c r="L5" s="8">
        <f t="shared" si="1"/>
        <v>2.6</v>
      </c>
      <c r="M5" s="9" t="str">
        <f t="shared" si="2"/>
        <v>Low Impact + Low Risk</v>
      </c>
      <c r="N5" s="4"/>
      <c r="O5" s="4"/>
      <c r="P5" s="4"/>
      <c r="Q5" s="4"/>
    </row>
    <row r="6" spans="1:17" ht="21.75" customHeight="1" x14ac:dyDescent="0.35">
      <c r="A6" s="10" t="s">
        <v>103</v>
      </c>
      <c r="B6" s="10" t="s">
        <v>104</v>
      </c>
      <c r="C6" s="11" t="s">
        <v>105</v>
      </c>
      <c r="D6" s="10" t="s">
        <v>93</v>
      </c>
      <c r="E6" s="10" t="s">
        <v>106</v>
      </c>
      <c r="F6" s="12">
        <v>44</v>
      </c>
      <c r="G6" s="12">
        <f t="shared" si="0"/>
        <v>1</v>
      </c>
      <c r="H6" s="7">
        <v>3</v>
      </c>
      <c r="I6" s="7">
        <v>1</v>
      </c>
      <c r="J6" s="7">
        <v>2</v>
      </c>
      <c r="K6" s="7">
        <v>3</v>
      </c>
      <c r="L6" s="13">
        <f t="shared" si="1"/>
        <v>1.7</v>
      </c>
      <c r="M6" s="14" t="str">
        <f t="shared" si="2"/>
        <v>Low Impact + Low Risk</v>
      </c>
      <c r="N6" s="10"/>
      <c r="O6" s="10"/>
      <c r="P6" s="10"/>
      <c r="Q6" s="10"/>
    </row>
    <row r="7" spans="1:17" ht="21.75" customHeight="1" x14ac:dyDescent="0.35">
      <c r="A7" s="4" t="s">
        <v>107</v>
      </c>
      <c r="B7" s="4" t="s">
        <v>108</v>
      </c>
      <c r="C7" s="5" t="s">
        <v>109</v>
      </c>
      <c r="D7" s="4" t="s">
        <v>110</v>
      </c>
      <c r="E7" s="4" t="s">
        <v>111</v>
      </c>
      <c r="F7" s="6">
        <v>41</v>
      </c>
      <c r="G7" s="6">
        <f t="shared" si="0"/>
        <v>1</v>
      </c>
      <c r="H7" s="7">
        <v>4</v>
      </c>
      <c r="I7" s="7">
        <v>3</v>
      </c>
      <c r="J7" s="7">
        <v>4</v>
      </c>
      <c r="K7" s="7">
        <v>3</v>
      </c>
      <c r="L7" s="8">
        <f t="shared" si="1"/>
        <v>2.9</v>
      </c>
      <c r="M7" s="9" t="str">
        <f t="shared" si="2"/>
        <v>High Impact + Low Risk</v>
      </c>
      <c r="N7" s="4"/>
      <c r="O7" s="4"/>
      <c r="P7" s="4"/>
      <c r="Q7" s="4"/>
    </row>
    <row r="8" spans="1:17" ht="21.75" customHeight="1" x14ac:dyDescent="0.35">
      <c r="A8" s="10" t="s">
        <v>112</v>
      </c>
      <c r="B8" s="10" t="s">
        <v>113</v>
      </c>
      <c r="C8" s="11" t="s">
        <v>114</v>
      </c>
      <c r="D8" s="10" t="s">
        <v>115</v>
      </c>
      <c r="E8" s="10" t="s">
        <v>116</v>
      </c>
      <c r="F8" s="12">
        <v>46</v>
      </c>
      <c r="G8" s="12">
        <f t="shared" si="0"/>
        <v>1</v>
      </c>
      <c r="H8" s="7">
        <v>4</v>
      </c>
      <c r="I8" s="7">
        <v>3</v>
      </c>
      <c r="J8" s="7">
        <v>4</v>
      </c>
      <c r="K8" s="7">
        <v>3</v>
      </c>
      <c r="L8" s="13">
        <f t="shared" si="1"/>
        <v>2.9</v>
      </c>
      <c r="M8" s="14" t="str">
        <f t="shared" si="2"/>
        <v>High Impact + Low Risk</v>
      </c>
      <c r="N8" s="10"/>
      <c r="O8" s="10"/>
      <c r="P8" s="10"/>
      <c r="Q8" s="10"/>
    </row>
    <row r="9" spans="1:17" ht="21.75" customHeight="1" x14ac:dyDescent="0.35">
      <c r="A9" s="4" t="s">
        <v>117</v>
      </c>
      <c r="B9" s="4" t="s">
        <v>118</v>
      </c>
      <c r="C9" s="5" t="s">
        <v>119</v>
      </c>
      <c r="D9" s="4" t="s">
        <v>110</v>
      </c>
      <c r="E9" s="4" t="s">
        <v>120</v>
      </c>
      <c r="F9" s="6">
        <v>46</v>
      </c>
      <c r="G9" s="6">
        <f t="shared" si="0"/>
        <v>1</v>
      </c>
      <c r="H9" s="7">
        <v>4</v>
      </c>
      <c r="I9" s="7">
        <v>3</v>
      </c>
      <c r="J9" s="7">
        <v>4</v>
      </c>
      <c r="K9" s="7">
        <v>3</v>
      </c>
      <c r="L9" s="8">
        <f t="shared" si="1"/>
        <v>2.9</v>
      </c>
      <c r="M9" s="9" t="str">
        <f t="shared" si="2"/>
        <v>High Impact + Low Risk</v>
      </c>
      <c r="N9" s="4"/>
      <c r="O9" s="4"/>
      <c r="P9" s="4"/>
      <c r="Q9" s="4"/>
    </row>
    <row r="10" spans="1:17" ht="21.75" customHeight="1" x14ac:dyDescent="0.35">
      <c r="A10" s="10" t="s">
        <v>121</v>
      </c>
      <c r="B10" s="10" t="s">
        <v>122</v>
      </c>
      <c r="C10" s="11" t="s">
        <v>123</v>
      </c>
      <c r="D10" s="10" t="s">
        <v>115</v>
      </c>
      <c r="E10" s="10" t="s">
        <v>124</v>
      </c>
      <c r="F10" s="12">
        <v>55</v>
      </c>
      <c r="G10" s="12">
        <f t="shared" si="0"/>
        <v>3</v>
      </c>
      <c r="H10" s="7">
        <v>5</v>
      </c>
      <c r="I10" s="7">
        <v>5</v>
      </c>
      <c r="J10" s="7">
        <v>4</v>
      </c>
      <c r="K10" s="7">
        <v>4</v>
      </c>
      <c r="L10" s="13">
        <f t="shared" si="1"/>
        <v>4.0999999999999996</v>
      </c>
      <c r="M10" s="14" t="str">
        <f t="shared" si="2"/>
        <v>High Impact + High Risk</v>
      </c>
      <c r="N10" s="10"/>
      <c r="O10" s="10"/>
      <c r="P10" s="10"/>
      <c r="Q10" s="10"/>
    </row>
    <row r="11" spans="1:17" ht="21.75" customHeight="1" x14ac:dyDescent="0.35">
      <c r="A11" s="4" t="s">
        <v>125</v>
      </c>
      <c r="B11" s="4" t="s">
        <v>126</v>
      </c>
      <c r="C11" s="5" t="s">
        <v>127</v>
      </c>
      <c r="D11" s="4" t="s">
        <v>110</v>
      </c>
      <c r="E11" s="4" t="s">
        <v>128</v>
      </c>
      <c r="F11" s="6">
        <v>39</v>
      </c>
      <c r="G11" s="6">
        <f t="shared" si="0"/>
        <v>1</v>
      </c>
      <c r="H11" s="7">
        <v>4</v>
      </c>
      <c r="I11" s="7">
        <v>3</v>
      </c>
      <c r="J11" s="7">
        <v>4</v>
      </c>
      <c r="K11" s="7">
        <v>3</v>
      </c>
      <c r="L11" s="8">
        <f t="shared" si="1"/>
        <v>2.9</v>
      </c>
      <c r="M11" s="9" t="str">
        <f t="shared" si="2"/>
        <v>High Impact + Low Risk</v>
      </c>
      <c r="N11" s="4"/>
      <c r="O11" s="4"/>
      <c r="P11" s="4"/>
      <c r="Q11" s="4"/>
    </row>
    <row r="12" spans="1:17" ht="21.75" customHeight="1" x14ac:dyDescent="0.35">
      <c r="A12" s="10" t="s">
        <v>129</v>
      </c>
      <c r="B12" s="10" t="s">
        <v>130</v>
      </c>
      <c r="C12" s="11" t="s">
        <v>131</v>
      </c>
      <c r="D12" s="10" t="s">
        <v>115</v>
      </c>
      <c r="E12" s="10" t="s">
        <v>132</v>
      </c>
      <c r="F12" s="12">
        <v>39</v>
      </c>
      <c r="G12" s="12">
        <f t="shared" si="0"/>
        <v>1</v>
      </c>
      <c r="H12" s="7">
        <v>4</v>
      </c>
      <c r="I12" s="7">
        <v>3</v>
      </c>
      <c r="J12" s="7">
        <v>5</v>
      </c>
      <c r="K12" s="7">
        <v>4</v>
      </c>
      <c r="L12" s="13">
        <f t="shared" si="1"/>
        <v>3.4</v>
      </c>
      <c r="M12" s="14" t="str">
        <f t="shared" si="2"/>
        <v>High Impact + Low Risk</v>
      </c>
      <c r="N12" s="10"/>
      <c r="O12" s="10"/>
      <c r="P12" s="10"/>
      <c r="Q12" s="10"/>
    </row>
    <row r="13" spans="1:17" ht="21.75" customHeight="1" x14ac:dyDescent="0.35">
      <c r="A13" s="4" t="s">
        <v>133</v>
      </c>
      <c r="B13" s="4" t="s">
        <v>134</v>
      </c>
      <c r="C13" s="5" t="s">
        <v>135</v>
      </c>
      <c r="D13" s="4" t="s">
        <v>136</v>
      </c>
      <c r="E13" s="4" t="s">
        <v>137</v>
      </c>
      <c r="F13" s="6">
        <v>54</v>
      </c>
      <c r="G13" s="6">
        <f t="shared" si="0"/>
        <v>2</v>
      </c>
      <c r="H13" s="7">
        <v>3</v>
      </c>
      <c r="I13" s="7">
        <v>5</v>
      </c>
      <c r="J13" s="7">
        <v>5</v>
      </c>
      <c r="K13" s="7">
        <v>4</v>
      </c>
      <c r="L13" s="8">
        <f t="shared" si="1"/>
        <v>4.2</v>
      </c>
      <c r="M13" s="9" t="str">
        <f t="shared" si="2"/>
        <v>Low Impact + High Risk</v>
      </c>
      <c r="N13" s="4"/>
      <c r="O13" s="4"/>
      <c r="P13" s="4"/>
      <c r="Q13" s="4"/>
    </row>
    <row r="14" spans="1:17" ht="21.75" customHeight="1" x14ac:dyDescent="0.35">
      <c r="A14" s="10" t="s">
        <v>138</v>
      </c>
      <c r="B14" s="10" t="s">
        <v>139</v>
      </c>
      <c r="C14" s="11" t="s">
        <v>140</v>
      </c>
      <c r="D14" s="10" t="s">
        <v>141</v>
      </c>
      <c r="E14" s="10" t="s">
        <v>142</v>
      </c>
      <c r="F14" s="12">
        <v>49</v>
      </c>
      <c r="G14" s="12">
        <f t="shared" si="0"/>
        <v>1</v>
      </c>
      <c r="H14" s="7">
        <v>4</v>
      </c>
      <c r="I14" s="7">
        <v>5</v>
      </c>
      <c r="J14" s="7">
        <v>5</v>
      </c>
      <c r="K14" s="7">
        <v>4</v>
      </c>
      <c r="L14" s="13">
        <f t="shared" si="1"/>
        <v>4</v>
      </c>
      <c r="M14" s="14" t="str">
        <f t="shared" si="2"/>
        <v>High Impact + High Risk</v>
      </c>
      <c r="N14" s="10"/>
      <c r="O14" s="10"/>
      <c r="P14" s="10"/>
      <c r="Q14" s="10"/>
    </row>
    <row r="15" spans="1:17" ht="21.75" customHeight="1" x14ac:dyDescent="0.35">
      <c r="A15" s="4" t="s">
        <v>143</v>
      </c>
      <c r="B15" s="4" t="s">
        <v>144</v>
      </c>
      <c r="C15" s="5" t="s">
        <v>145</v>
      </c>
      <c r="D15" s="4" t="s">
        <v>146</v>
      </c>
      <c r="E15" s="4" t="s">
        <v>147</v>
      </c>
      <c r="F15" s="6">
        <v>50</v>
      </c>
      <c r="G15" s="6">
        <f t="shared" si="0"/>
        <v>2</v>
      </c>
      <c r="H15" s="7">
        <v>3</v>
      </c>
      <c r="I15" s="7">
        <v>5</v>
      </c>
      <c r="J15" s="7">
        <v>5</v>
      </c>
      <c r="K15" s="7">
        <v>4</v>
      </c>
      <c r="L15" s="8">
        <f t="shared" si="1"/>
        <v>4.2</v>
      </c>
      <c r="M15" s="9" t="str">
        <f t="shared" si="2"/>
        <v>Low Impact + High Risk</v>
      </c>
      <c r="N15" s="4"/>
      <c r="O15" s="4"/>
      <c r="P15" s="4"/>
      <c r="Q15" s="4"/>
    </row>
    <row r="16" spans="1:17" ht="21.75" customHeight="1" x14ac:dyDescent="0.35">
      <c r="A16" s="10" t="s">
        <v>148</v>
      </c>
      <c r="B16" s="10" t="s">
        <v>149</v>
      </c>
      <c r="C16" s="11" t="s">
        <v>150</v>
      </c>
      <c r="D16" s="10" t="s">
        <v>151</v>
      </c>
      <c r="E16" s="10" t="s">
        <v>152</v>
      </c>
      <c r="F16" s="12">
        <v>55</v>
      </c>
      <c r="G16" s="12">
        <f t="shared" si="0"/>
        <v>3</v>
      </c>
      <c r="H16" s="7">
        <v>3</v>
      </c>
      <c r="I16" s="7">
        <v>5</v>
      </c>
      <c r="J16" s="7">
        <v>3</v>
      </c>
      <c r="K16" s="7">
        <v>3</v>
      </c>
      <c r="L16" s="13">
        <f t="shared" si="1"/>
        <v>3.6</v>
      </c>
      <c r="M16" s="14" t="str">
        <f t="shared" si="2"/>
        <v>Low Impact + High Risk</v>
      </c>
      <c r="N16" s="10"/>
      <c r="O16" s="10"/>
      <c r="P16" s="10"/>
      <c r="Q16" s="10"/>
    </row>
    <row r="17" spans="1:17" ht="21.75" customHeight="1" x14ac:dyDescent="0.35">
      <c r="A17" s="4" t="s">
        <v>153</v>
      </c>
      <c r="B17" s="4" t="s">
        <v>154</v>
      </c>
      <c r="C17" s="5" t="s">
        <v>155</v>
      </c>
      <c r="D17" s="4" t="s">
        <v>93</v>
      </c>
      <c r="E17" s="4" t="s">
        <v>156</v>
      </c>
      <c r="F17" s="6">
        <v>48</v>
      </c>
      <c r="G17" s="6">
        <f t="shared" si="0"/>
        <v>1</v>
      </c>
      <c r="H17" s="7">
        <v>3</v>
      </c>
      <c r="I17" s="7">
        <v>3</v>
      </c>
      <c r="J17" s="7">
        <v>4</v>
      </c>
      <c r="K17" s="7">
        <v>3</v>
      </c>
      <c r="L17" s="8">
        <f t="shared" si="1"/>
        <v>2.9</v>
      </c>
      <c r="M17" s="9" t="str">
        <f t="shared" si="2"/>
        <v>Low Impact + Low Risk</v>
      </c>
      <c r="N17" s="4"/>
      <c r="O17" s="4"/>
      <c r="P17" s="4"/>
      <c r="Q17" s="4"/>
    </row>
    <row r="18" spans="1:17" ht="21.75" customHeight="1" x14ac:dyDescent="0.35">
      <c r="A18" s="10" t="s">
        <v>157</v>
      </c>
      <c r="B18" s="10" t="s">
        <v>158</v>
      </c>
      <c r="C18" s="11" t="s">
        <v>159</v>
      </c>
      <c r="D18" s="10" t="s">
        <v>93</v>
      </c>
      <c r="E18" s="10" t="s">
        <v>160</v>
      </c>
      <c r="F18" s="12">
        <v>43</v>
      </c>
      <c r="G18" s="12">
        <f t="shared" si="0"/>
        <v>1</v>
      </c>
      <c r="H18" s="7">
        <v>2</v>
      </c>
      <c r="I18" s="7">
        <v>3</v>
      </c>
      <c r="J18" s="7">
        <v>4</v>
      </c>
      <c r="K18" s="7">
        <v>3</v>
      </c>
      <c r="L18" s="13">
        <f t="shared" si="1"/>
        <v>2.9</v>
      </c>
      <c r="M18" s="14" t="str">
        <f t="shared" si="2"/>
        <v>Low Impact + Low Risk</v>
      </c>
      <c r="N18" s="10"/>
      <c r="O18" s="10"/>
      <c r="P18" s="10"/>
      <c r="Q18" s="10"/>
    </row>
    <row r="19" spans="1:17" ht="21.75" customHeight="1" x14ac:dyDescent="0.35">
      <c r="A19" s="4" t="s">
        <v>161</v>
      </c>
      <c r="B19" s="4" t="s">
        <v>162</v>
      </c>
      <c r="C19" s="5" t="s">
        <v>163</v>
      </c>
      <c r="D19" s="4" t="s">
        <v>93</v>
      </c>
      <c r="E19" s="4" t="s">
        <v>164</v>
      </c>
      <c r="F19" s="6">
        <v>51</v>
      </c>
      <c r="G19" s="6">
        <f t="shared" si="0"/>
        <v>2</v>
      </c>
      <c r="H19" s="7">
        <v>4</v>
      </c>
      <c r="I19" s="7">
        <v>5</v>
      </c>
      <c r="J19" s="7">
        <v>4</v>
      </c>
      <c r="K19" s="7">
        <v>3</v>
      </c>
      <c r="L19" s="8">
        <f t="shared" si="1"/>
        <v>3.7</v>
      </c>
      <c r="M19" s="9" t="str">
        <f t="shared" si="2"/>
        <v>High Impact + High Risk</v>
      </c>
      <c r="N19" s="4"/>
      <c r="O19" s="4"/>
      <c r="P19" s="4"/>
      <c r="Q19" s="4"/>
    </row>
    <row r="20" spans="1:17" ht="21.75" customHeight="1" x14ac:dyDescent="0.35">
      <c r="A20" s="10" t="s">
        <v>165</v>
      </c>
      <c r="B20" s="10" t="s">
        <v>166</v>
      </c>
      <c r="C20" s="11" t="s">
        <v>167</v>
      </c>
      <c r="D20" s="10" t="s">
        <v>168</v>
      </c>
      <c r="E20" s="10" t="s">
        <v>169</v>
      </c>
      <c r="F20" s="12">
        <v>52</v>
      </c>
      <c r="G20" s="12">
        <f t="shared" si="0"/>
        <v>2</v>
      </c>
      <c r="H20" s="7">
        <v>5</v>
      </c>
      <c r="I20" s="7">
        <v>5</v>
      </c>
      <c r="J20" s="7">
        <v>4</v>
      </c>
      <c r="K20" s="7">
        <v>3</v>
      </c>
      <c r="L20" s="13">
        <f t="shared" si="1"/>
        <v>3.7</v>
      </c>
      <c r="M20" s="14" t="str">
        <f t="shared" si="2"/>
        <v>High Impact + High Risk</v>
      </c>
      <c r="N20" s="10"/>
      <c r="O20" s="10"/>
      <c r="P20" s="10"/>
      <c r="Q20" s="10"/>
    </row>
    <row r="21" spans="1:17" ht="21.75" customHeight="1" x14ac:dyDescent="0.35">
      <c r="A21" s="4" t="s">
        <v>170</v>
      </c>
      <c r="B21" s="4" t="s">
        <v>171</v>
      </c>
      <c r="C21" s="5" t="s">
        <v>172</v>
      </c>
      <c r="D21" s="4" t="s">
        <v>115</v>
      </c>
      <c r="E21" s="4" t="s">
        <v>173</v>
      </c>
      <c r="F21" s="6">
        <v>56</v>
      </c>
      <c r="G21" s="6">
        <f t="shared" si="0"/>
        <v>3</v>
      </c>
      <c r="H21" s="7">
        <v>5</v>
      </c>
      <c r="I21" s="7">
        <v>5</v>
      </c>
      <c r="J21" s="7">
        <v>4</v>
      </c>
      <c r="K21" s="7">
        <v>3</v>
      </c>
      <c r="L21" s="8">
        <f t="shared" si="1"/>
        <v>3.9</v>
      </c>
      <c r="M21" s="9" t="str">
        <f t="shared" si="2"/>
        <v>High Impact + High Risk</v>
      </c>
      <c r="N21" s="4"/>
      <c r="O21" s="4"/>
      <c r="P21" s="4"/>
      <c r="Q21" s="4"/>
    </row>
    <row r="22" spans="1:17" ht="21.75" customHeight="1" x14ac:dyDescent="0.35">
      <c r="A22" s="10" t="s">
        <v>174</v>
      </c>
      <c r="B22" s="10" t="s">
        <v>175</v>
      </c>
      <c r="C22" s="11" t="s">
        <v>176</v>
      </c>
      <c r="D22" s="10" t="s">
        <v>168</v>
      </c>
      <c r="E22" s="10" t="s">
        <v>177</v>
      </c>
      <c r="F22" s="12">
        <v>32</v>
      </c>
      <c r="G22" s="12">
        <f t="shared" si="0"/>
        <v>1</v>
      </c>
      <c r="H22" s="7">
        <v>4</v>
      </c>
      <c r="I22" s="7">
        <v>3</v>
      </c>
      <c r="J22" s="7">
        <v>4</v>
      </c>
      <c r="K22" s="7">
        <v>3</v>
      </c>
      <c r="L22" s="13">
        <f t="shared" si="1"/>
        <v>2.9</v>
      </c>
      <c r="M22" s="14" t="str">
        <f t="shared" si="2"/>
        <v>High Impact + Low Risk</v>
      </c>
      <c r="N22" s="10"/>
      <c r="O22" s="10"/>
      <c r="P22" s="10"/>
      <c r="Q22" s="10"/>
    </row>
  </sheetData>
  <mergeCells count="1">
    <mergeCell ref="A1:Q1"/>
  </mergeCells>
  <dataValidations count="3">
    <dataValidation type="list" allowBlank="1" sqref="H3:H22 J3:K22" xr:uid="{00000000-0002-0000-0100-000000000000}">
      <formula1>"1,2,3,4,5"</formula1>
      <formula2>0</formula2>
    </dataValidation>
    <dataValidation type="list" allowBlank="1" sqref="I3:I22" xr:uid="{00000000-0002-0000-0100-000001000000}">
      <formula1>"1,3,5"</formula1>
      <formula2>0</formula2>
    </dataValidation>
    <dataValidation type="list" allowBlank="1" sqref="O3:O22" xr:uid="{00000000-0002-0000-01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2026-06-25T06:42:13Z</dcterms:created>
  <dcterms:modified xsi:type="dcterms:W3CDTF">2026-06-26T00:55:15Z</dcterms:modified>
  <dc:language>en-US</dc:language>
</cp:coreProperties>
</file>