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10" documentId="13_ncr:1_{89C05139-767C-4D44-95FE-72D2855E25B1}" xr6:coauthVersionLast="47" xr6:coauthVersionMax="47" xr10:uidLastSave="{F4DE5FDA-ACA3-4036-931A-3B6E609C1F95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กรอกข้อมูล!$A$2:$R$69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9" i="1" l="1"/>
  <c r="G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14" i="1"/>
  <c r="M14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l="1"/>
  <c r="L3" i="1" l="1"/>
  <c r="M3" i="1" s="1"/>
</calcChain>
</file>

<file path=xl/sharedStrings.xml><?xml version="1.0" encoding="utf-8"?>
<sst xmlns="http://schemas.openxmlformats.org/spreadsheetml/2006/main" count="456" uniqueCount="293">
  <si>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</si>
  <si>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</si>
  <si>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</si>
  <si>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</si>
  <si>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</si>
  <si>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</si>
  <si>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</si>
  <si>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</si>
  <si>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</si>
  <si>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</si>
  <si>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</si>
  <si>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</si>
  <si>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</si>
  <si>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</si>
  <si>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</si>
  <si>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</si>
  <si>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</si>
  <si>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</si>
  <si>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</si>
  <si>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</si>
  <si>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</si>
  <si>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</si>
  <si>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</si>
  <si>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</si>
  <si>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</si>
  <si>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</si>
  <si>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</si>
  <si>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</si>
  <si>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</si>
  <si>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</si>
  <si>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</si>
  <si>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</si>
  <si>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</si>
  <si>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</si>
  <si>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</si>
  <si>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</si>
  <si>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</si>
  <si>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</si>
  <si>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</si>
  <si>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</si>
  <si>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</si>
  <si>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</si>
  <si>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</si>
  <si>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</si>
  <si>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</si>
  <si>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</si>
  <si>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</si>
  <si>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</si>
  <si>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</si>
  <si>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</si>
  <si>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</si>
  <si>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</si>
  <si>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</si>
  <si>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</si>
  <si>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</si>
  <si>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</si>
  <si>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</si>
  <si>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</si>
  <si>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</si>
  <si>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</si>
  <si>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</si>
  <si>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</si>
  <si>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</si>
  <si>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</si>
  <si>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</si>
  <si>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</si>
  <si>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</si>
  <si>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</si>
  <si>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</si>
  <si>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</si>
  <si>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</si>
  <si>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</si>
  <si>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</si>
  <si>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</si>
  <si>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</si>
  <si>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</si>
  <si>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</si>
  <si>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</si>
  <si>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</si>
  <si>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</si>
  <si>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</si>
  <si>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</si>
  <si>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</si>
  <si>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</si>
  <si>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</si>
  <si>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</si>
  <si>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</si>
  <si>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</si>
  <si>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</si>
  <si>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</si>
  <si>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</si>
  <si>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</si>
  <si>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</si>
  <si>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</si>
  <si>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</si>
  <si>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</si>
  <si>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</si>
  <si>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</si>
  <si>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</si>
  <si>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</si>
  <si>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</si>
  <si>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</si>
  <si>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CCD</t>
  </si>
  <si>
    <t>กนกวรรณ นาสูงชน</t>
  </si>
  <si>
    <t>Section Manager - Atlantic Ocean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</si>
  <si>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</si>
  <si>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</si>
  <si>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</si>
  <si>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</si>
  <si>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</si>
  <si>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</si>
  <si>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</si>
  <si>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</si>
  <si>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</si>
  <si>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</si>
  <si>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</si>
  <si>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</si>
  <si>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</si>
  <si>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</si>
  <si>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</si>
  <si>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</si>
  <si>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</si>
  <si>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</si>
  <si>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</si>
  <si>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</si>
  <si>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</si>
  <si>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</si>
  <si>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</si>
  <si>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</si>
  <si>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</si>
  <si>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</si>
  <si>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</si>
  <si>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</si>
  <si>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</si>
  <si>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</si>
  <si>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</si>
  <si>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</si>
  <si>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</si>
  <si>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</si>
  <si>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</si>
  <si>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</si>
  <si>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</si>
  <si>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</si>
  <si>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</si>
  <si>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</si>
  <si>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</si>
  <si>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</si>
  <si>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</si>
  <si>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</si>
  <si>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</si>
  <si>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</si>
  <si>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</si>
  <si>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</si>
  <si>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</si>
  <si>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</si>
  <si>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</si>
  <si>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</si>
  <si>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</si>
  <si>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</si>
  <si>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</si>
  <si>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</si>
  <si>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</si>
  <si>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</si>
  <si>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</si>
  <si>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</si>
  <si>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</si>
  <si>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</si>
  <si>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</si>
  <si>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</si>
  <si>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</si>
  <si>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</si>
  <si>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</si>
  <si>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</si>
  <si>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</si>
  <si>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</si>
  <si>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</si>
  <si>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</si>
  <si>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</si>
  <si>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</si>
  <si>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</si>
  <si>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</si>
  <si>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</si>
  <si>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</si>
  <si>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</si>
  <si>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</si>
  <si>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</si>
  <si>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</si>
  <si>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</si>
  <si>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</si>
  <si>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</si>
  <si>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</si>
  <si>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</si>
  <si>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</si>
  <si>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</si>
  <si>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</si>
  <si>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</si>
  <si>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</si>
  <si>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</si>
  <si>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</si>
  <si>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</si>
  <si>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</si>
  <si>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</si>
  <si>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</si>
  <si>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</si>
  <si>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</si>
  <si>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</si>
  <si>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</si>
  <si>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</si>
  <si>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</si>
  <si>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</si>
  <si>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</si>
  <si>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</si>
  <si>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</si>
  <si>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</si>
  <si>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</si>
  <si>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</si>
  <si>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</si>
  <si>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</si>
  <si>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</si>
  <si>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</si>
  <si>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</si>
  <si>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</si>
  <si>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</si>
  <si>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</si>
  <si>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</si>
  <si>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</si>
  <si>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</si>
  <si>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</si>
  <si>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</si>
  <si>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</si>
  <si>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</si>
  <si>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</si>
  <si>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</si>
  <si>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</si>
  <si>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</si>
  <si>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</si>
  <si>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</si>
  <si>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</si>
  <si>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</si>
  <si>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</si>
  <si>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</si>
  <si>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</si>
  <si>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</si>
  <si>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</si>
  <si>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</si>
  <si>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</si>
  <si>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</si>
  <si>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</si>
  <si>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</si>
  <si>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</si>
  <si>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</si>
  <si>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</si>
  <si>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</si>
  <si>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</si>
  <si>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</si>
  <si>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</si>
  <si>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</si>
  <si>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</si>
  <si>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</si>
  <si>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</si>
  <si>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</si>
  <si>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</si>
  <si>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</si>
  <si>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</si>
  <si>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</si>
  <si>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</si>
  <si>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</si>
  <si>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</si>
  <si>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</si>
  <si>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</si>
  <si>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</si>
  <si>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</si>
  <si>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</si>
  <si>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</si>
  <si>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</si>
  <si>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</si>
  <si>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</si>
  <si>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</si>
  <si>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</si>
  <si>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</si>
  <si>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</si>
  <si>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</si>
  <si>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</si>
  <si>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</si>
  <si>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สรรหาจากภายนอก</t>
  </si>
  <si>
    <t>พุฒิพงศ์ สีธิสุข</t>
  </si>
  <si>
    <t>149024 A_Acting Procurement Manager.docx</t>
  </si>
  <si>
    <t>266049_Department Manager Human Resources.docx</t>
  </si>
  <si>
    <t>368004_Contract-Procurement.docx</t>
  </si>
  <si>
    <t>วัชระ สะติรัน</t>
  </si>
  <si>
    <t>Department Manager - Batch and Furnace</t>
  </si>
  <si>
    <t>วงษ์ศักดิ์ ศรีสวัสดิ์ หรือ
ภานุวัฒน์ ธนสานสกุลวงศ์</t>
  </si>
  <si>
    <t>ภราดร นิเทศพัตรพงศ์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</si>
</sst>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  <font>
      <sz val="9.5"/>
      <color rgb="FF00B050"/>
      <name val="Arial"/>
      <family val="2"/>
    </font>
    <font>
      <i/>
      <sz val="9.5"/>
      <color rgb="FF00B050"/>
      <name val="Arial"/>
      <family val="2"/>
    </font>
    <font>
      <b/>
      <sz val="9.5"/>
      <color rgb="FF00B050"/>
      <name val="Arial"/>
      <family val="2"/>
    </font>
    <font>
      <sz val="11"/>
      <color rgb="FF00B050"/>
      <name val="Calibri"/>
      <family val="2"/>
      <charset val="1"/>
    </font>
    <font>
      <sz val="9.5"/>
      <color rgb="FFFFC000"/>
      <name val="Arial"/>
      <family val="2"/>
    </font>
    <font>
      <i/>
      <sz val="9.5"/>
      <color rgb="FFFFC000"/>
      <name val="Arial"/>
      <family val="2"/>
    </font>
    <font>
      <b/>
      <sz val="9.5"/>
      <color rgb="FFFFC000"/>
      <name val="Arial"/>
      <family val="2"/>
    </font>
    <font>
      <sz val="11"/>
      <color rgb="FFFFC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vertical="center" shrinkToFit="1"/>
    </xf>
    <xf numFmtId="14" fontId="20" fillId="4" borderId="2" xfId="0" applyNumberFormat="1" applyFont="1" applyFill="1" applyBorder="1" applyAlignment="1">
      <alignment horizontal="center" vertical="center" shrinkToFit="1"/>
    </xf>
    <xf numFmtId="0" fontId="21" fillId="4" borderId="2" xfId="0" applyFont="1" applyFill="1" applyBorder="1" applyAlignment="1">
      <alignment horizontal="center" vertical="center" shrinkToFit="1"/>
    </xf>
    <xf numFmtId="0" fontId="22" fillId="11" borderId="2" xfId="0" applyFont="1" applyFill="1" applyBorder="1" applyAlignment="1">
      <alignment horizontal="center" vertical="center" shrinkToFit="1"/>
    </xf>
    <xf numFmtId="0" fontId="22" fillId="4" borderId="2" xfId="0" applyFont="1" applyFill="1" applyBorder="1" applyAlignment="1">
      <alignment horizontal="center" vertical="center" shrinkToFit="1"/>
    </xf>
    <xf numFmtId="0" fontId="23" fillId="0" borderId="0" xfId="0" applyFont="1"/>
    <xf numFmtId="0" fontId="20" fillId="12" borderId="2" xfId="0" applyFont="1" applyFill="1" applyBorder="1" applyAlignment="1">
      <alignment horizontal="center" vertical="center" shrinkToFit="1"/>
    </xf>
    <xf numFmtId="0" fontId="20" fillId="12" borderId="2" xfId="0" applyFont="1" applyFill="1" applyBorder="1" applyAlignment="1">
      <alignment vertical="center" shrinkToFit="1"/>
    </xf>
    <xf numFmtId="14" fontId="20" fillId="12" borderId="2" xfId="0" applyNumberFormat="1" applyFont="1" applyFill="1" applyBorder="1" applyAlignment="1">
      <alignment horizontal="center" vertical="center" shrinkToFit="1"/>
    </xf>
    <xf numFmtId="0" fontId="21" fillId="12" borderId="2" xfId="0" applyFont="1" applyFill="1" applyBorder="1" applyAlignment="1">
      <alignment horizontal="center" vertical="center" shrinkToFit="1"/>
    </xf>
    <xf numFmtId="0" fontId="22" fillId="12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vertical="center" shrinkToFit="1"/>
    </xf>
    <xf numFmtId="14" fontId="24" fillId="4" borderId="2" xfId="0" applyNumberFormat="1" applyFont="1" applyFill="1" applyBorder="1" applyAlignment="1">
      <alignment horizontal="center" vertical="center" shrinkToFit="1"/>
    </xf>
    <xf numFmtId="0" fontId="25" fillId="4" borderId="2" xfId="0" applyFont="1" applyFill="1" applyBorder="1" applyAlignment="1">
      <alignment horizontal="center" vertical="center" shrinkToFit="1"/>
    </xf>
    <xf numFmtId="0" fontId="26" fillId="11" borderId="2" xfId="0" applyFont="1" applyFill="1" applyBorder="1" applyAlignment="1">
      <alignment horizontal="center" vertical="center" shrinkToFit="1"/>
    </xf>
    <xf numFmtId="0" fontId="26" fillId="4" borderId="2" xfId="0" applyFont="1" applyFill="1" applyBorder="1" applyAlignment="1">
      <alignment horizontal="center" vertical="center" shrinkToFit="1"/>
    </xf>
    <xf numFmtId="0" fontId="27" fillId="0" borderId="0" xfId="0" applyFont="1"/>
    <xf numFmtId="0" fontId="24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shrinkToFit="1"/>
    </xf>
    <xf numFmtId="14" fontId="24" fillId="12" borderId="2" xfId="0" applyNumberFormat="1" applyFont="1" applyFill="1" applyBorder="1" applyAlignment="1">
      <alignment horizontal="center" vertical="center" shrinkToFit="1"/>
    </xf>
    <xf numFmtId="0" fontId="25" fillId="12" borderId="2" xfId="0" applyFont="1" applyFill="1" applyBorder="1" applyAlignment="1">
      <alignment horizontal="center" vertical="center" shrinkToFit="1"/>
    </xf>
    <xf numFmtId="0" fontId="26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wrapText="1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59" t="s">
        <v>18</v>
      </c>
      <c r="C2" s="59"/>
      <c r="D2" s="59"/>
      <c r="E2" s="59"/>
      <c r="F2" s="59"/>
      <c r="G2" s="59"/>
    </row>
    <row r="4" spans="2:7" ht="19.5" customHeight="1" x14ac:dyDescent="0.35">
      <c r="B4" s="60" t="s">
        <v>19</v>
      </c>
      <c r="C4" s="60"/>
      <c r="D4" s="60"/>
      <c r="E4" s="60"/>
      <c r="F4" s="60"/>
      <c r="G4" s="60"/>
    </row>
    <row r="6" spans="2:7" ht="25.5" customHeight="1" x14ac:dyDescent="0.35">
      <c r="B6" s="48" t="s">
        <v>20</v>
      </c>
      <c r="C6" s="48"/>
      <c r="D6" s="48"/>
      <c r="E6" s="48"/>
      <c r="F6" s="48"/>
      <c r="G6" s="48"/>
    </row>
    <row r="7" spans="2:7" ht="19.5" customHeight="1" x14ac:dyDescent="0.35">
      <c r="B7" s="46" t="s">
        <v>21</v>
      </c>
      <c r="C7" s="46"/>
      <c r="D7" s="46"/>
      <c r="E7" s="46"/>
      <c r="F7" s="46"/>
      <c r="G7" s="46"/>
    </row>
    <row r="8" spans="2:7" x14ac:dyDescent="0.35">
      <c r="B8" s="1" t="s">
        <v>22</v>
      </c>
      <c r="C8" s="61" t="s">
        <v>23</v>
      </c>
      <c r="D8" s="61"/>
      <c r="E8" s="61"/>
      <c r="F8" s="61"/>
      <c r="G8" s="61"/>
    </row>
    <row r="9" spans="2:7" x14ac:dyDescent="0.35">
      <c r="B9" s="2">
        <v>1</v>
      </c>
      <c r="C9" s="50" t="s">
        <v>24</v>
      </c>
      <c r="D9" s="50"/>
      <c r="E9" s="50"/>
      <c r="F9" s="50"/>
      <c r="G9" s="50"/>
    </row>
    <row r="10" spans="2:7" x14ac:dyDescent="0.35">
      <c r="B10" s="2">
        <v>2</v>
      </c>
      <c r="C10" s="50" t="s">
        <v>25</v>
      </c>
      <c r="D10" s="50"/>
      <c r="E10" s="50"/>
      <c r="F10" s="50"/>
      <c r="G10" s="50"/>
    </row>
    <row r="11" spans="2:7" x14ac:dyDescent="0.35">
      <c r="B11" s="2">
        <v>3</v>
      </c>
      <c r="C11" s="50" t="s">
        <v>26</v>
      </c>
      <c r="D11" s="50"/>
      <c r="E11" s="50"/>
      <c r="F11" s="50"/>
      <c r="G11" s="50"/>
    </row>
    <row r="12" spans="2:7" x14ac:dyDescent="0.35">
      <c r="B12" s="2">
        <v>4</v>
      </c>
      <c r="C12" s="50" t="s">
        <v>27</v>
      </c>
      <c r="D12" s="50"/>
      <c r="E12" s="50"/>
      <c r="F12" s="50"/>
      <c r="G12" s="50"/>
    </row>
    <row r="13" spans="2:7" x14ac:dyDescent="0.35">
      <c r="B13" s="2">
        <v>5</v>
      </c>
      <c r="C13" s="50" t="s">
        <v>28</v>
      </c>
      <c r="D13" s="50"/>
      <c r="E13" s="50"/>
      <c r="F13" s="50"/>
      <c r="G13" s="50"/>
    </row>
    <row r="15" spans="2:7" ht="19.5" customHeight="1" x14ac:dyDescent="0.35">
      <c r="B15" s="54" t="s">
        <v>29</v>
      </c>
      <c r="C15" s="54"/>
      <c r="D15" s="54"/>
      <c r="E15" s="54"/>
      <c r="F15" s="54"/>
      <c r="G15" s="54"/>
    </row>
    <row r="16" spans="2:7" ht="19.5" customHeight="1" x14ac:dyDescent="0.35">
      <c r="B16" s="47" t="s">
        <v>30</v>
      </c>
      <c r="C16" s="47"/>
      <c r="D16" s="47"/>
      <c r="E16" s="47"/>
      <c r="F16" s="47"/>
      <c r="G16" s="47"/>
    </row>
    <row r="17" spans="2:7" ht="19.5" customHeight="1" x14ac:dyDescent="0.35">
      <c r="B17" s="47" t="s">
        <v>31</v>
      </c>
      <c r="C17" s="47"/>
      <c r="D17" s="47"/>
      <c r="E17" s="47"/>
      <c r="F17" s="47"/>
      <c r="G17" s="47"/>
    </row>
    <row r="18" spans="2:7" ht="19.5" customHeight="1" x14ac:dyDescent="0.35">
      <c r="B18" s="47" t="s">
        <v>32</v>
      </c>
      <c r="C18" s="47"/>
      <c r="D18" s="47"/>
      <c r="E18" s="47"/>
      <c r="F18" s="47"/>
      <c r="G18" s="47"/>
    </row>
    <row r="19" spans="2:7" ht="19.5" customHeight="1" x14ac:dyDescent="0.35">
      <c r="B19" s="47" t="s">
        <v>33</v>
      </c>
      <c r="C19" s="47"/>
      <c r="D19" s="47"/>
      <c r="E19" s="47"/>
      <c r="F19" s="47"/>
      <c r="G19" s="47"/>
    </row>
    <row r="20" spans="2:7" ht="19.5" customHeight="1" x14ac:dyDescent="0.35">
      <c r="B20" s="47" t="s">
        <v>34</v>
      </c>
      <c r="C20" s="47"/>
      <c r="D20" s="47"/>
      <c r="E20" s="47"/>
      <c r="F20" s="47"/>
      <c r="G20" s="47"/>
    </row>
    <row r="22" spans="2:7" ht="25.5" customHeight="1" x14ac:dyDescent="0.35">
      <c r="B22" s="48" t="s">
        <v>35</v>
      </c>
      <c r="C22" s="48"/>
      <c r="D22" s="48"/>
      <c r="E22" s="48"/>
      <c r="F22" s="48"/>
      <c r="G22" s="48"/>
    </row>
    <row r="23" spans="2:7" ht="19.5" customHeight="1" x14ac:dyDescent="0.35">
      <c r="B23" s="54" t="s">
        <v>36</v>
      </c>
      <c r="C23" s="54"/>
      <c r="D23" s="54"/>
      <c r="E23" s="54"/>
      <c r="F23" s="54"/>
      <c r="G23" s="54"/>
    </row>
    <row r="25" spans="2:7" ht="19.5" customHeight="1" x14ac:dyDescent="0.35">
      <c r="B25" s="55" t="s">
        <v>37</v>
      </c>
      <c r="C25" s="55"/>
      <c r="D25" s="55"/>
      <c r="E25" s="55"/>
      <c r="F25" s="55"/>
      <c r="G25" s="55"/>
    </row>
    <row r="26" spans="2:7" x14ac:dyDescent="0.35">
      <c r="B26" s="57" t="s">
        <v>38</v>
      </c>
      <c r="C26" s="57"/>
      <c r="D26" s="57"/>
      <c r="E26" s="57"/>
      <c r="F26" s="58" t="s">
        <v>39</v>
      </c>
      <c r="G26" s="58"/>
    </row>
    <row r="27" spans="2:7" x14ac:dyDescent="0.35">
      <c r="B27" s="57" t="s">
        <v>40</v>
      </c>
      <c r="C27" s="57"/>
      <c r="D27" s="57"/>
      <c r="E27" s="57"/>
      <c r="F27" s="58" t="s">
        <v>41</v>
      </c>
      <c r="G27" s="58"/>
    </row>
    <row r="28" spans="2:7" x14ac:dyDescent="0.35">
      <c r="B28" s="57" t="s">
        <v>42</v>
      </c>
      <c r="C28" s="57"/>
      <c r="D28" s="57"/>
      <c r="E28" s="57"/>
      <c r="F28" s="58" t="s">
        <v>43</v>
      </c>
      <c r="G28" s="58"/>
    </row>
    <row r="29" spans="2:7" x14ac:dyDescent="0.35">
      <c r="B29" s="57" t="s">
        <v>44</v>
      </c>
      <c r="C29" s="57"/>
      <c r="D29" s="57"/>
      <c r="E29" s="57"/>
      <c r="F29" s="58" t="s">
        <v>45</v>
      </c>
      <c r="G29" s="58"/>
    </row>
    <row r="30" spans="2:7" x14ac:dyDescent="0.35">
      <c r="B30" s="57" t="s">
        <v>46</v>
      </c>
      <c r="C30" s="57"/>
      <c r="D30" s="57"/>
      <c r="E30" s="57"/>
      <c r="F30" s="58" t="s">
        <v>47</v>
      </c>
      <c r="G30" s="58"/>
    </row>
    <row r="32" spans="2:7" ht="19.5" customHeight="1" x14ac:dyDescent="0.35">
      <c r="B32" s="54" t="s">
        <v>48</v>
      </c>
      <c r="C32" s="54"/>
      <c r="D32" s="54"/>
      <c r="E32" s="54"/>
      <c r="F32" s="54"/>
      <c r="G32" s="54"/>
    </row>
    <row r="33" spans="2:7" x14ac:dyDescent="0.35">
      <c r="B33" s="2">
        <v>1</v>
      </c>
      <c r="C33" s="50" t="s">
        <v>49</v>
      </c>
      <c r="D33" s="50"/>
      <c r="E33" s="50"/>
      <c r="F33" s="50"/>
      <c r="G33" s="50"/>
    </row>
    <row r="34" spans="2:7" x14ac:dyDescent="0.35">
      <c r="B34" s="2">
        <v>3</v>
      </c>
      <c r="C34" s="50" t="s">
        <v>50</v>
      </c>
      <c r="D34" s="50"/>
      <c r="E34" s="50"/>
      <c r="F34" s="50"/>
      <c r="G34" s="50"/>
    </row>
    <row r="35" spans="2:7" x14ac:dyDescent="0.35">
      <c r="B35" s="2">
        <v>5</v>
      </c>
      <c r="C35" s="50" t="s">
        <v>51</v>
      </c>
      <c r="D35" s="50"/>
      <c r="E35" s="50"/>
      <c r="F35" s="50"/>
      <c r="G35" s="50"/>
    </row>
    <row r="37" spans="2:7" ht="19.5" customHeight="1" x14ac:dyDescent="0.35">
      <c r="B37" s="54" t="s">
        <v>52</v>
      </c>
      <c r="C37" s="54"/>
      <c r="D37" s="54"/>
      <c r="E37" s="54"/>
      <c r="F37" s="54"/>
      <c r="G37" s="54"/>
    </row>
    <row r="38" spans="2:7" x14ac:dyDescent="0.35">
      <c r="B38" s="2">
        <v>1</v>
      </c>
      <c r="C38" s="50" t="s">
        <v>53</v>
      </c>
      <c r="D38" s="50"/>
      <c r="E38" s="50"/>
      <c r="F38" s="50"/>
      <c r="G38" s="50"/>
    </row>
    <row r="39" spans="2:7" x14ac:dyDescent="0.35">
      <c r="B39" s="2">
        <v>2</v>
      </c>
      <c r="C39" s="50" t="s">
        <v>54</v>
      </c>
      <c r="D39" s="50"/>
      <c r="E39" s="50"/>
      <c r="F39" s="50"/>
      <c r="G39" s="50"/>
    </row>
    <row r="40" spans="2:7" x14ac:dyDescent="0.35">
      <c r="B40" s="2">
        <v>3</v>
      </c>
      <c r="C40" s="50" t="s">
        <v>55</v>
      </c>
      <c r="D40" s="50"/>
      <c r="E40" s="50"/>
      <c r="F40" s="50"/>
      <c r="G40" s="50"/>
    </row>
    <row r="41" spans="2:7" x14ac:dyDescent="0.35">
      <c r="B41" s="2">
        <v>4</v>
      </c>
      <c r="C41" s="50" t="s">
        <v>56</v>
      </c>
      <c r="D41" s="50"/>
      <c r="E41" s="50"/>
      <c r="F41" s="50"/>
      <c r="G41" s="50"/>
    </row>
    <row r="42" spans="2:7" x14ac:dyDescent="0.35">
      <c r="B42" s="2">
        <v>5</v>
      </c>
      <c r="C42" s="50" t="s">
        <v>57</v>
      </c>
      <c r="D42" s="50"/>
      <c r="E42" s="50"/>
      <c r="F42" s="50"/>
      <c r="G42" s="50"/>
    </row>
    <row r="44" spans="2:7" ht="19.5" customHeight="1" x14ac:dyDescent="0.35">
      <c r="B44" s="54" t="s">
        <v>58</v>
      </c>
      <c r="C44" s="54"/>
      <c r="D44" s="54"/>
      <c r="E44" s="54"/>
      <c r="F44" s="54"/>
      <c r="G44" s="54"/>
    </row>
    <row r="45" spans="2:7" x14ac:dyDescent="0.35">
      <c r="B45" s="2">
        <v>1</v>
      </c>
      <c r="C45" s="50" t="s">
        <v>59</v>
      </c>
      <c r="D45" s="50"/>
      <c r="E45" s="50"/>
      <c r="F45" s="50"/>
      <c r="G45" s="50"/>
    </row>
    <row r="46" spans="2:7" x14ac:dyDescent="0.35">
      <c r="B46" s="2">
        <v>2</v>
      </c>
      <c r="C46" s="50" t="s">
        <v>60</v>
      </c>
      <c r="D46" s="50"/>
      <c r="E46" s="50"/>
      <c r="F46" s="50"/>
      <c r="G46" s="50"/>
    </row>
    <row r="47" spans="2:7" x14ac:dyDescent="0.35">
      <c r="B47" s="2">
        <v>3</v>
      </c>
      <c r="C47" s="50" t="s">
        <v>61</v>
      </c>
      <c r="D47" s="50"/>
      <c r="E47" s="50"/>
      <c r="F47" s="50"/>
      <c r="G47" s="50"/>
    </row>
    <row r="48" spans="2:7" x14ac:dyDescent="0.35">
      <c r="B48" s="2">
        <v>4</v>
      </c>
      <c r="C48" s="50" t="s">
        <v>62</v>
      </c>
      <c r="D48" s="50"/>
      <c r="E48" s="50"/>
      <c r="F48" s="50"/>
      <c r="G48" s="50"/>
    </row>
    <row r="49" spans="2:7" x14ac:dyDescent="0.35">
      <c r="B49" s="2">
        <v>5</v>
      </c>
      <c r="C49" s="50" t="s">
        <v>63</v>
      </c>
      <c r="D49" s="50"/>
      <c r="E49" s="50"/>
      <c r="F49" s="50"/>
      <c r="G49" s="50"/>
    </row>
    <row r="51" spans="2:7" ht="25.5" customHeight="1" x14ac:dyDescent="0.35">
      <c r="B51" s="48" t="s">
        <v>64</v>
      </c>
      <c r="C51" s="48"/>
      <c r="D51" s="48"/>
      <c r="E51" s="48"/>
      <c r="F51" s="48"/>
      <c r="G51" s="48"/>
    </row>
    <row r="52" spans="2:7" ht="19.5" customHeight="1" x14ac:dyDescent="0.35">
      <c r="B52" s="55" t="s">
        <v>65</v>
      </c>
      <c r="C52" s="55"/>
      <c r="D52" s="55"/>
      <c r="E52" s="55"/>
      <c r="F52" s="55"/>
      <c r="G52" s="55"/>
    </row>
    <row r="53" spans="2:7" ht="19.5" customHeight="1" x14ac:dyDescent="0.35">
      <c r="B53" s="56" t="s">
        <v>66</v>
      </c>
      <c r="C53" s="56"/>
      <c r="D53" s="56"/>
      <c r="E53" s="56"/>
      <c r="F53" s="56"/>
      <c r="G53" s="56"/>
    </row>
    <row r="55" spans="2:7" ht="25.5" customHeight="1" x14ac:dyDescent="0.35">
      <c r="B55" s="48" t="s">
        <v>67</v>
      </c>
      <c r="C55" s="48"/>
      <c r="D55" s="48"/>
      <c r="E55" s="48"/>
      <c r="F55" s="48"/>
      <c r="G55" s="48"/>
    </row>
    <row r="56" spans="2:7" x14ac:dyDescent="0.35">
      <c r="B56" s="49" t="s">
        <v>68</v>
      </c>
      <c r="C56" s="49"/>
      <c r="D56" s="49"/>
      <c r="E56" s="50" t="s">
        <v>69</v>
      </c>
      <c r="F56" s="50"/>
      <c r="G56" s="50"/>
    </row>
    <row r="57" spans="2:7" x14ac:dyDescent="0.35">
      <c r="B57" s="51" t="s">
        <v>70</v>
      </c>
      <c r="C57" s="51"/>
      <c r="D57" s="51"/>
      <c r="E57" s="50" t="s">
        <v>71</v>
      </c>
      <c r="F57" s="50"/>
      <c r="G57" s="50"/>
    </row>
    <row r="58" spans="2:7" x14ac:dyDescent="0.35">
      <c r="B58" s="52" t="s">
        <v>72</v>
      </c>
      <c r="C58" s="52"/>
      <c r="D58" s="52"/>
      <c r="E58" s="50" t="s">
        <v>73</v>
      </c>
      <c r="F58" s="50"/>
      <c r="G58" s="50"/>
    </row>
    <row r="59" spans="2:7" x14ac:dyDescent="0.35">
      <c r="B59" s="53" t="s">
        <v>74</v>
      </c>
      <c r="C59" s="53"/>
      <c r="D59" s="53"/>
      <c r="E59" s="50" t="s">
        <v>75</v>
      </c>
      <c r="F59" s="50"/>
      <c r="G59" s="50"/>
    </row>
    <row r="62" spans="2:7" ht="25.5" customHeight="1" x14ac:dyDescent="0.35">
      <c r="B62" s="48" t="s">
        <v>76</v>
      </c>
      <c r="C62" s="48"/>
      <c r="D62" s="48"/>
      <c r="E62" s="48"/>
      <c r="F62" s="48"/>
      <c r="G62" s="48"/>
    </row>
    <row r="63" spans="2:7" ht="19.5" customHeight="1" x14ac:dyDescent="0.35">
      <c r="B63" s="46" t="s">
        <v>77</v>
      </c>
      <c r="C63" s="46"/>
      <c r="D63" s="46"/>
      <c r="E63" s="46"/>
      <c r="F63" s="46"/>
      <c r="G63" s="46"/>
    </row>
    <row r="64" spans="2:7" ht="19.5" customHeight="1" x14ac:dyDescent="0.35">
      <c r="B64" s="47" t="s">
        <v>78</v>
      </c>
      <c r="C64" s="47"/>
      <c r="D64" s="47"/>
      <c r="E64" s="47"/>
      <c r="F64" s="47"/>
      <c r="G64" s="47"/>
    </row>
    <row r="65" spans="2:7" ht="19.5" customHeight="1" x14ac:dyDescent="0.35">
      <c r="B65" s="47" t="s">
        <v>79</v>
      </c>
      <c r="C65" s="47"/>
      <c r="D65" s="47"/>
      <c r="E65" s="47"/>
      <c r="F65" s="47"/>
      <c r="G65" s="47"/>
    </row>
    <row r="66" spans="2:7" ht="19.5" customHeight="1" x14ac:dyDescent="0.35">
      <c r="B66" s="47" t="s">
        <v>80</v>
      </c>
      <c r="C66" s="47"/>
      <c r="D66" s="47"/>
      <c r="E66" s="47"/>
      <c r="F66" s="47"/>
      <c r="G66" s="47"/>
    </row>
    <row r="67" spans="2:7" ht="19.5" customHeight="1" x14ac:dyDescent="0.35">
      <c r="B67" s="47" t="s">
        <v>81</v>
      </c>
      <c r="C67" s="47"/>
      <c r="D67" s="47"/>
      <c r="E67" s="47"/>
      <c r="F67" s="47"/>
      <c r="G67" s="47"/>
    </row>
    <row r="69" spans="2:7" ht="25.5" customHeight="1" x14ac:dyDescent="0.35">
      <c r="B69" s="48" t="s">
        <v>82</v>
      </c>
      <c r="C69" s="48"/>
      <c r="D69" s="48"/>
      <c r="E69" s="48"/>
      <c r="F69" s="48"/>
      <c r="G69" s="48"/>
    </row>
    <row r="70" spans="2:7" ht="19.5" customHeight="1" x14ac:dyDescent="0.35">
      <c r="B70" s="46" t="s">
        <v>83</v>
      </c>
      <c r="C70" s="46"/>
      <c r="D70" s="46"/>
      <c r="E70" s="46"/>
      <c r="F70" s="46"/>
      <c r="G70" s="46"/>
    </row>
    <row r="71" spans="2:7" ht="19.5" customHeight="1" x14ac:dyDescent="0.35">
      <c r="B71" s="46" t="s">
        <v>84</v>
      </c>
      <c r="C71" s="46"/>
      <c r="D71" s="46"/>
      <c r="E71" s="46"/>
      <c r="F71" s="46"/>
      <c r="G71" s="46"/>
    </row>
    <row r="72" spans="2:7" ht="19.5" customHeight="1" x14ac:dyDescent="0.35">
      <c r="B72" s="46" t="s">
        <v>85</v>
      </c>
      <c r="C72" s="46"/>
      <c r="D72" s="46"/>
      <c r="E72" s="46"/>
      <c r="F72" s="46"/>
      <c r="G72" s="46"/>
    </row>
    <row r="73" spans="2:7" ht="19.5" customHeight="1" x14ac:dyDescent="0.35">
      <c r="B73" s="46" t="s">
        <v>86</v>
      </c>
      <c r="C73" s="46"/>
      <c r="D73" s="46"/>
      <c r="E73" s="46"/>
      <c r="F73" s="46"/>
      <c r="G73" s="46"/>
    </row>
    <row r="74" spans="2:7" ht="19.5" customHeight="1" x14ac:dyDescent="0.35">
      <c r="B74" s="46" t="s">
        <v>87</v>
      </c>
      <c r="C74" s="46"/>
      <c r="D74" s="46"/>
      <c r="E74" s="46"/>
      <c r="F74" s="46"/>
      <c r="G74" s="46"/>
    </row>
    <row r="75" spans="2:7" ht="19.5" customHeight="1" x14ac:dyDescent="0.35">
      <c r="B75" s="46" t="s">
        <v>88</v>
      </c>
      <c r="C75" s="46"/>
      <c r="D75" s="46"/>
      <c r="E75" s="46"/>
      <c r="F75" s="46"/>
      <c r="G75" s="46"/>
    </row>
    <row r="76" spans="2:7" ht="19.5" customHeight="1" x14ac:dyDescent="0.35">
      <c r="B76" s="46"/>
      <c r="C76" s="46"/>
      <c r="D76" s="46"/>
      <c r="E76" s="46"/>
      <c r="F76" s="46"/>
      <c r="G76" s="46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R69"/>
  <sheetViews>
    <sheetView showGridLines="0" tabSelected="1" zoomScale="99" zoomScaleNormal="99" workbookViewId="0">
      <pane xSplit="4" ySplit="2" topLeftCell="E11" activePane="bottomRight" state="frozen"/>
      <selection pane="topRight" activeCell="E1" sqref="E1"/>
      <selection pane="bottomLeft" activeCell="A4" sqref="A4"/>
      <selection pane="bottomRight" activeCell="O69" sqref="O69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8" max="18" width="8.6328125" style="4"/>
  </cols>
  <sheetData>
    <row r="1" spans="1:18" ht="31.5" customHeight="1" x14ac:dyDescent="0.35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5"/>
    </row>
    <row r="2" spans="1:18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6" t="s">
        <v>89</v>
      </c>
    </row>
    <row r="3" spans="1:18" s="14" customFormat="1" ht="21.75" hidden="1" customHeight="1" x14ac:dyDescent="0.35">
      <c r="A3" s="7">
        <v>168028</v>
      </c>
      <c r="B3" s="9" t="s">
        <v>100</v>
      </c>
      <c r="C3" s="9" t="s">
        <v>101</v>
      </c>
      <c r="D3" s="9" t="s">
        <v>90</v>
      </c>
      <c r="E3" s="10">
        <v>31046</v>
      </c>
      <c r="F3" s="11">
        <f ca="1">DATEDIF(E3,TODAY(),"Y")</f>
        <v>41</v>
      </c>
      <c r="G3" s="11">
        <f t="shared" ref="G3:G47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7" ca="1" si="1">IF(OR(I3="",J3="",K3="",G3=""),"",ROUND(G3*0.2+I3*0.3+J3*0.3+K3*0.2,2))</f>
        <v>2.2999999999999998</v>
      </c>
      <c r="M3" s="13" t="str">
        <f t="shared" ref="M3:M47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R3" s="7" t="s">
        <v>102</v>
      </c>
    </row>
    <row r="4" spans="1:18" s="14" customFormat="1" ht="21.75" hidden="1" customHeight="1" x14ac:dyDescent="0.35">
      <c r="A4" s="8">
        <v>150026</v>
      </c>
      <c r="B4" s="15" t="s">
        <v>103</v>
      </c>
      <c r="C4" s="15" t="s">
        <v>104</v>
      </c>
      <c r="D4" s="15" t="s">
        <v>90</v>
      </c>
      <c r="E4" s="16">
        <v>29304</v>
      </c>
      <c r="F4" s="17">
        <f t="shared" ref="F4:F47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R4" s="8" t="s">
        <v>102</v>
      </c>
    </row>
    <row r="5" spans="1:18" s="14" customFormat="1" ht="21.75" hidden="1" customHeight="1" x14ac:dyDescent="0.35">
      <c r="A5" s="7">
        <v>147022</v>
      </c>
      <c r="B5" s="9" t="s">
        <v>105</v>
      </c>
      <c r="C5" s="9" t="s">
        <v>106</v>
      </c>
      <c r="D5" s="9" t="s">
        <v>90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R5" s="7" t="s">
        <v>102</v>
      </c>
    </row>
    <row r="6" spans="1:18" s="14" customFormat="1" ht="21.75" hidden="1" customHeight="1" x14ac:dyDescent="0.35">
      <c r="A6" s="8">
        <v>136049</v>
      </c>
      <c r="B6" s="15" t="s">
        <v>107</v>
      </c>
      <c r="C6" s="15" t="s">
        <v>108</v>
      </c>
      <c r="D6" s="15" t="s">
        <v>90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R6" s="8" t="s">
        <v>102</v>
      </c>
    </row>
    <row r="7" spans="1:18" s="14" customFormat="1" ht="21.75" hidden="1" customHeight="1" x14ac:dyDescent="0.35">
      <c r="A7" s="7">
        <v>161027</v>
      </c>
      <c r="B7" s="9" t="s">
        <v>109</v>
      </c>
      <c r="C7" s="9" t="s">
        <v>110</v>
      </c>
      <c r="D7" s="9" t="s">
        <v>90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R7" s="7" t="s">
        <v>102</v>
      </c>
    </row>
    <row r="8" spans="1:18" s="14" customFormat="1" ht="21.75" hidden="1" customHeight="1" x14ac:dyDescent="0.35">
      <c r="A8" s="7">
        <v>656001</v>
      </c>
      <c r="B8" s="9" t="s">
        <v>111</v>
      </c>
      <c r="C8" s="9" t="s">
        <v>112</v>
      </c>
      <c r="D8" s="9" t="s">
        <v>90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R8" s="7" t="s">
        <v>102</v>
      </c>
    </row>
    <row r="9" spans="1:18" s="14" customFormat="1" ht="21.75" hidden="1" customHeight="1" x14ac:dyDescent="0.35">
      <c r="A9" s="8">
        <v>656008</v>
      </c>
      <c r="B9" s="15" t="s">
        <v>113</v>
      </c>
      <c r="C9" s="15" t="s">
        <v>114</v>
      </c>
      <c r="D9" s="15" t="s">
        <v>90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R9" s="8" t="s">
        <v>102</v>
      </c>
    </row>
    <row r="10" spans="1:18" s="14" customFormat="1" ht="21.75" hidden="1" customHeight="1" x14ac:dyDescent="0.35">
      <c r="A10" s="7">
        <v>168017</v>
      </c>
      <c r="B10" s="9" t="s">
        <v>115</v>
      </c>
      <c r="C10" s="9" t="s">
        <v>116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R10" s="7" t="s">
        <v>117</v>
      </c>
    </row>
    <row r="11" spans="1:18" s="26" customFormat="1" ht="21.75" customHeight="1" x14ac:dyDescent="0.35">
      <c r="A11" s="27">
        <v>266049</v>
      </c>
      <c r="B11" s="28" t="s">
        <v>118</v>
      </c>
      <c r="C11" s="28" t="s">
        <v>119</v>
      </c>
      <c r="D11" s="28" t="s">
        <v>90</v>
      </c>
      <c r="E11" s="29">
        <v>28864</v>
      </c>
      <c r="F11" s="30">
        <f t="shared" ca="1" si="3"/>
        <v>47</v>
      </c>
      <c r="G11" s="30">
        <f t="shared" ca="1" si="0"/>
        <v>1</v>
      </c>
      <c r="H11" s="24">
        <v>4</v>
      </c>
      <c r="I11" s="24">
        <v>1</v>
      </c>
      <c r="J11" s="24">
        <v>3</v>
      </c>
      <c r="K11" s="24">
        <v>2</v>
      </c>
      <c r="L11" s="31">
        <f t="shared" ca="1" si="1"/>
        <v>1.8</v>
      </c>
      <c r="M11" s="31" t="str">
        <f t="shared" ca="1" si="2"/>
        <v>High Impact + Low Risk</v>
      </c>
      <c r="N11" s="28" t="s">
        <v>285</v>
      </c>
      <c r="O11" s="28" t="s">
        <v>252</v>
      </c>
      <c r="P11" s="28" t="s">
        <v>287</v>
      </c>
      <c r="Q11" s="28"/>
      <c r="R11" s="27" t="s">
        <v>117</v>
      </c>
    </row>
    <row r="12" spans="1:18" s="14" customFormat="1" ht="21.75" hidden="1" customHeight="1" x14ac:dyDescent="0.35">
      <c r="A12" s="7">
        <v>166027</v>
      </c>
      <c r="B12" s="9" t="s">
        <v>120</v>
      </c>
      <c r="C12" s="9" t="s">
        <v>121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R12" s="7" t="s">
        <v>117</v>
      </c>
    </row>
    <row r="13" spans="1:18" s="26" customFormat="1" ht="21.75" hidden="1" customHeight="1" x14ac:dyDescent="0.35">
      <c r="A13" s="27">
        <v>466004</v>
      </c>
      <c r="B13" s="28" t="s">
        <v>181</v>
      </c>
      <c r="C13" s="28" t="s">
        <v>182</v>
      </c>
      <c r="D13" s="28" t="s">
        <v>90</v>
      </c>
      <c r="E13" s="29" t="s">
        <v>183</v>
      </c>
      <c r="F13" s="30">
        <v>66</v>
      </c>
      <c r="G13" s="30">
        <v>5</v>
      </c>
      <c r="H13" s="24">
        <v>4</v>
      </c>
      <c r="I13" s="24">
        <v>5</v>
      </c>
      <c r="J13" s="24">
        <v>3</v>
      </c>
      <c r="K13" s="24">
        <v>3</v>
      </c>
      <c r="L13" s="31">
        <f t="shared" si="1"/>
        <v>4</v>
      </c>
      <c r="M13" s="31" t="str">
        <f t="shared" si="2"/>
        <v>High Impact + High Risk</v>
      </c>
      <c r="N13" s="28" t="s">
        <v>284</v>
      </c>
      <c r="O13" s="28"/>
      <c r="P13" s="28" t="s">
        <v>256</v>
      </c>
      <c r="Q13" s="28"/>
      <c r="R13" s="27" t="s">
        <v>117</v>
      </c>
    </row>
    <row r="14" spans="1:18" s="26" customFormat="1" ht="21.75" hidden="1" customHeight="1" x14ac:dyDescent="0.35">
      <c r="A14" s="20">
        <v>159029</v>
      </c>
      <c r="B14" s="21" t="s">
        <v>178</v>
      </c>
      <c r="C14" s="21" t="s">
        <v>179</v>
      </c>
      <c r="D14" s="21" t="s">
        <v>90</v>
      </c>
      <c r="E14" s="22" t="s">
        <v>180</v>
      </c>
      <c r="F14" s="23">
        <v>52</v>
      </c>
      <c r="G14" s="23">
        <v>2</v>
      </c>
      <c r="H14" s="24">
        <v>4</v>
      </c>
      <c r="I14" s="24">
        <v>1</v>
      </c>
      <c r="J14" s="24">
        <v>2</v>
      </c>
      <c r="K14" s="24">
        <v>5</v>
      </c>
      <c r="L14" s="25">
        <f t="shared" ref="L14" si="4">IF(OR(I14="",J14="",K14="",G14=""),"",ROUND(G14*0.2+I14*0.3+J14*0.3+K14*0.2,2))</f>
        <v>2.2999999999999998</v>
      </c>
      <c r="M14" s="25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21" t="s">
        <v>284</v>
      </c>
      <c r="O14" s="21"/>
      <c r="P14" s="21" t="s">
        <v>257</v>
      </c>
      <c r="Q14" s="21"/>
      <c r="R14" s="20" t="s">
        <v>117</v>
      </c>
    </row>
    <row r="15" spans="1:18" s="38" customFormat="1" ht="21.75" customHeight="1" x14ac:dyDescent="0.35">
      <c r="A15" s="32">
        <v>239006</v>
      </c>
      <c r="B15" s="33" t="s">
        <v>123</v>
      </c>
      <c r="C15" s="33" t="s">
        <v>124</v>
      </c>
      <c r="D15" s="33" t="s">
        <v>90</v>
      </c>
      <c r="E15" s="34">
        <v>26179</v>
      </c>
      <c r="F15" s="35">
        <f t="shared" ca="1" si="3"/>
        <v>55</v>
      </c>
      <c r="G15" s="35">
        <f t="shared" ca="1" si="0"/>
        <v>3</v>
      </c>
      <c r="H15" s="36">
        <v>4</v>
      </c>
      <c r="I15" s="36">
        <v>3</v>
      </c>
      <c r="J15" s="36">
        <v>4</v>
      </c>
      <c r="K15" s="36">
        <v>3</v>
      </c>
      <c r="L15" s="37">
        <f t="shared" ca="1" si="1"/>
        <v>3.3</v>
      </c>
      <c r="M15" s="37" t="str">
        <f t="shared" ca="1" si="2"/>
        <v>High Impact + Low Risk</v>
      </c>
      <c r="N15" s="33" t="s">
        <v>143</v>
      </c>
      <c r="O15" s="33" t="s">
        <v>252</v>
      </c>
      <c r="P15" s="33" t="s">
        <v>258</v>
      </c>
      <c r="Q15" s="33"/>
      <c r="R15" s="32" t="s">
        <v>122</v>
      </c>
    </row>
    <row r="16" spans="1:18" s="38" customFormat="1" ht="21.75" customHeight="1" x14ac:dyDescent="0.35">
      <c r="A16" s="39">
        <v>246004</v>
      </c>
      <c r="B16" s="40" t="s">
        <v>125</v>
      </c>
      <c r="C16" s="40" t="s">
        <v>126</v>
      </c>
      <c r="D16" s="40" t="s">
        <v>90</v>
      </c>
      <c r="E16" s="41">
        <v>28270</v>
      </c>
      <c r="F16" s="42">
        <f t="shared" ca="1" si="3"/>
        <v>49</v>
      </c>
      <c r="G16" s="42">
        <f t="shared" ca="1" si="0"/>
        <v>1</v>
      </c>
      <c r="H16" s="36">
        <v>4</v>
      </c>
      <c r="I16" s="36">
        <v>1</v>
      </c>
      <c r="J16" s="36">
        <v>3</v>
      </c>
      <c r="K16" s="36">
        <v>4</v>
      </c>
      <c r="L16" s="43">
        <f t="shared" ca="1" si="1"/>
        <v>2.2000000000000002</v>
      </c>
      <c r="M16" s="43" t="str">
        <f t="shared" ca="1" si="2"/>
        <v>High Impact + Low Risk</v>
      </c>
      <c r="N16" s="44" t="s">
        <v>291</v>
      </c>
      <c r="O16" s="40" t="s">
        <v>252</v>
      </c>
      <c r="P16" s="40" t="s">
        <v>259</v>
      </c>
      <c r="Q16" s="40"/>
      <c r="R16" s="39" t="s">
        <v>122</v>
      </c>
    </row>
    <row r="17" spans="1:18" s="14" customFormat="1" ht="21.75" hidden="1" customHeight="1" x14ac:dyDescent="0.35">
      <c r="A17" s="7">
        <v>242032</v>
      </c>
      <c r="B17" s="9" t="s">
        <v>127</v>
      </c>
      <c r="C17" s="9" t="s">
        <v>250</v>
      </c>
      <c r="D17" s="9" t="s">
        <v>90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 t="s">
        <v>252</v>
      </c>
      <c r="P17" s="9"/>
      <c r="Q17" s="9"/>
      <c r="R17" s="7" t="s">
        <v>122</v>
      </c>
    </row>
    <row r="18" spans="1:18" s="14" customFormat="1" ht="21.75" customHeight="1" x14ac:dyDescent="0.35">
      <c r="A18" s="8">
        <v>149024</v>
      </c>
      <c r="B18" s="15" t="s">
        <v>128</v>
      </c>
      <c r="C18" s="15" t="s">
        <v>129</v>
      </c>
      <c r="D18" s="15" t="s">
        <v>90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 t="s">
        <v>167</v>
      </c>
      <c r="O18" s="15" t="s">
        <v>252</v>
      </c>
      <c r="P18" s="15"/>
      <c r="Q18" s="15"/>
      <c r="R18" s="8" t="s">
        <v>122</v>
      </c>
    </row>
    <row r="19" spans="1:18" s="14" customFormat="1" ht="21.75" hidden="1" customHeight="1" x14ac:dyDescent="0.35">
      <c r="A19" s="7">
        <v>232027</v>
      </c>
      <c r="B19" s="9" t="s">
        <v>130</v>
      </c>
      <c r="C19" s="9" t="s">
        <v>131</v>
      </c>
      <c r="D19" s="9" t="s">
        <v>90</v>
      </c>
      <c r="E19" s="10">
        <v>24838</v>
      </c>
      <c r="F19" s="11">
        <f t="shared" ca="1" si="3"/>
        <v>58</v>
      </c>
      <c r="G19" s="11">
        <f t="shared" ca="1" si="0"/>
        <v>4</v>
      </c>
      <c r="H19" s="12">
        <v>3</v>
      </c>
      <c r="I19" s="12">
        <v>1</v>
      </c>
      <c r="J19" s="12">
        <v>4</v>
      </c>
      <c r="K19" s="12">
        <v>4</v>
      </c>
      <c r="L19" s="13">
        <f t="shared" ca="1" si="1"/>
        <v>3.1</v>
      </c>
      <c r="M19" s="13" t="str">
        <f t="shared" ca="1" si="2"/>
        <v>Low Impact + Low Risk</v>
      </c>
      <c r="N19" s="9"/>
      <c r="O19" s="9" t="s">
        <v>252</v>
      </c>
      <c r="P19" s="9"/>
      <c r="Q19" s="9"/>
      <c r="R19" s="7" t="s">
        <v>122</v>
      </c>
    </row>
    <row r="20" spans="1:18" s="14" customFormat="1" ht="21.75" hidden="1" customHeight="1" x14ac:dyDescent="0.35">
      <c r="A20" s="8">
        <v>256029</v>
      </c>
      <c r="B20" s="15" t="s">
        <v>132</v>
      </c>
      <c r="C20" s="15" t="s">
        <v>133</v>
      </c>
      <c r="D20" s="15" t="s">
        <v>90</v>
      </c>
      <c r="E20" s="16">
        <v>31119</v>
      </c>
      <c r="F20" s="17">
        <f t="shared" ca="1" si="3"/>
        <v>41</v>
      </c>
      <c r="G20" s="17">
        <f t="shared" ca="1" si="0"/>
        <v>1</v>
      </c>
      <c r="H20" s="12">
        <v>3</v>
      </c>
      <c r="I20" s="12">
        <v>1</v>
      </c>
      <c r="J20" s="12">
        <v>3</v>
      </c>
      <c r="K20" s="12">
        <v>3</v>
      </c>
      <c r="L20" s="18">
        <f t="shared" ca="1" si="1"/>
        <v>2</v>
      </c>
      <c r="M20" s="18" t="str">
        <f t="shared" ca="1" si="2"/>
        <v>Low Impact + Low Risk</v>
      </c>
      <c r="N20" s="15"/>
      <c r="O20" s="15" t="s">
        <v>252</v>
      </c>
      <c r="P20" s="15"/>
      <c r="Q20" s="15"/>
      <c r="R20" s="8" t="s">
        <v>122</v>
      </c>
    </row>
    <row r="21" spans="1:18" s="14" customFormat="1" ht="21.75" hidden="1" customHeight="1" x14ac:dyDescent="0.35">
      <c r="A21" s="7">
        <v>236012</v>
      </c>
      <c r="B21" s="9" t="s">
        <v>134</v>
      </c>
      <c r="C21" s="9" t="s">
        <v>135</v>
      </c>
      <c r="D21" s="9" t="s">
        <v>90</v>
      </c>
      <c r="E21" s="10">
        <v>26421</v>
      </c>
      <c r="F21" s="11">
        <f t="shared" ca="1" si="3"/>
        <v>54</v>
      </c>
      <c r="G21" s="11">
        <f t="shared" ca="1" si="0"/>
        <v>2</v>
      </c>
      <c r="H21" s="12">
        <v>3</v>
      </c>
      <c r="I21" s="12">
        <v>1</v>
      </c>
      <c r="J21" s="12">
        <v>3</v>
      </c>
      <c r="K21" s="12">
        <v>3</v>
      </c>
      <c r="L21" s="13">
        <f t="shared" ca="1" si="1"/>
        <v>2.2000000000000002</v>
      </c>
      <c r="M21" s="13" t="str">
        <f t="shared" ca="1" si="2"/>
        <v>Low Impact + Low Risk</v>
      </c>
      <c r="N21" s="9"/>
      <c r="O21" s="9" t="s">
        <v>252</v>
      </c>
      <c r="P21" s="9"/>
      <c r="Q21" s="9"/>
      <c r="R21" s="7" t="s">
        <v>122</v>
      </c>
    </row>
    <row r="22" spans="1:18" s="38" customFormat="1" ht="21.75" customHeight="1" x14ac:dyDescent="0.35">
      <c r="A22" s="39">
        <v>250042</v>
      </c>
      <c r="B22" s="40" t="s">
        <v>136</v>
      </c>
      <c r="C22" s="40" t="s">
        <v>137</v>
      </c>
      <c r="D22" s="40" t="s">
        <v>90</v>
      </c>
      <c r="E22" s="41">
        <v>26738</v>
      </c>
      <c r="F22" s="42">
        <f t="shared" ca="1" si="3"/>
        <v>53</v>
      </c>
      <c r="G22" s="42">
        <f t="shared" ca="1" si="0"/>
        <v>2</v>
      </c>
      <c r="H22" s="36">
        <v>4</v>
      </c>
      <c r="I22" s="36">
        <v>1</v>
      </c>
      <c r="J22" s="36">
        <v>4</v>
      </c>
      <c r="K22" s="36">
        <v>4</v>
      </c>
      <c r="L22" s="43">
        <f t="shared" ca="1" si="1"/>
        <v>2.7</v>
      </c>
      <c r="M22" s="43" t="str">
        <f t="shared" ca="1" si="2"/>
        <v>High Impact + Low Risk</v>
      </c>
      <c r="N22" s="40" t="s">
        <v>292</v>
      </c>
      <c r="O22" s="40" t="s">
        <v>252</v>
      </c>
      <c r="P22" s="40" t="s">
        <v>260</v>
      </c>
      <c r="Q22" s="40"/>
      <c r="R22" s="39" t="s">
        <v>122</v>
      </c>
    </row>
    <row r="23" spans="1:18" s="14" customFormat="1" ht="21.75" hidden="1" customHeight="1" x14ac:dyDescent="0.35">
      <c r="A23" s="7">
        <v>233034</v>
      </c>
      <c r="B23" s="9" t="s">
        <v>138</v>
      </c>
      <c r="C23" s="9" t="s">
        <v>139</v>
      </c>
      <c r="D23" s="9" t="s">
        <v>90</v>
      </c>
      <c r="E23" s="10">
        <v>25245</v>
      </c>
      <c r="F23" s="11">
        <f t="shared" ca="1" si="3"/>
        <v>57</v>
      </c>
      <c r="G23" s="11">
        <f t="shared" ca="1" si="0"/>
        <v>3</v>
      </c>
      <c r="H23" s="12">
        <v>3</v>
      </c>
      <c r="I23" s="12">
        <v>1</v>
      </c>
      <c r="J23" s="12">
        <v>3</v>
      </c>
      <c r="K23" s="12">
        <v>4</v>
      </c>
      <c r="L23" s="13">
        <f t="shared" ca="1" si="1"/>
        <v>2.6</v>
      </c>
      <c r="M23" s="13" t="str">
        <f t="shared" ca="1" si="2"/>
        <v>Low Impact + Low Risk</v>
      </c>
      <c r="N23" s="9"/>
      <c r="O23" s="9"/>
      <c r="P23" s="9"/>
      <c r="Q23" s="9"/>
      <c r="R23" s="7" t="s">
        <v>122</v>
      </c>
    </row>
    <row r="24" spans="1:18" s="14" customFormat="1" ht="21.75" hidden="1" customHeight="1" x14ac:dyDescent="0.35">
      <c r="A24" s="8">
        <v>268013</v>
      </c>
      <c r="B24" s="15" t="s">
        <v>140</v>
      </c>
      <c r="C24" s="15" t="s">
        <v>251</v>
      </c>
      <c r="D24" s="15" t="s">
        <v>90</v>
      </c>
      <c r="E24" s="16">
        <v>29244</v>
      </c>
      <c r="F24" s="17">
        <f t="shared" ca="1" si="3"/>
        <v>46</v>
      </c>
      <c r="G24" s="17">
        <f t="shared" ca="1" si="0"/>
        <v>1</v>
      </c>
      <c r="H24" s="12">
        <v>3</v>
      </c>
      <c r="I24" s="12">
        <v>3</v>
      </c>
      <c r="J24" s="12">
        <v>3</v>
      </c>
      <c r="K24" s="12">
        <v>4</v>
      </c>
      <c r="L24" s="18">
        <f t="shared" ca="1" si="1"/>
        <v>2.8</v>
      </c>
      <c r="M24" s="18" t="str">
        <f t="shared" ca="1" si="2"/>
        <v>Low Impact + Low Risk</v>
      </c>
      <c r="N24" s="15"/>
      <c r="O24" s="15"/>
      <c r="P24" s="15"/>
      <c r="Q24" s="15"/>
      <c r="R24" s="8" t="s">
        <v>122</v>
      </c>
    </row>
    <row r="25" spans="1:18" s="14" customFormat="1" ht="21.75" hidden="1" customHeight="1" x14ac:dyDescent="0.35">
      <c r="A25" s="7">
        <v>249010</v>
      </c>
      <c r="B25" s="9" t="s">
        <v>141</v>
      </c>
      <c r="C25" s="9" t="s">
        <v>142</v>
      </c>
      <c r="D25" s="9" t="s">
        <v>90</v>
      </c>
      <c r="E25" s="10">
        <v>27467</v>
      </c>
      <c r="F25" s="11">
        <f t="shared" ca="1" si="3"/>
        <v>51</v>
      </c>
      <c r="G25" s="11">
        <f t="shared" ca="1" si="0"/>
        <v>2</v>
      </c>
      <c r="H25" s="12">
        <v>3</v>
      </c>
      <c r="I25" s="12">
        <v>1</v>
      </c>
      <c r="J25" s="12">
        <v>4</v>
      </c>
      <c r="K25" s="12">
        <v>4</v>
      </c>
      <c r="L25" s="13">
        <f t="shared" ca="1" si="1"/>
        <v>2.7</v>
      </c>
      <c r="M25" s="13" t="str">
        <f t="shared" ca="1" si="2"/>
        <v>Low Impact + Low Risk</v>
      </c>
      <c r="N25" s="9"/>
      <c r="O25" s="9"/>
      <c r="P25" s="9"/>
      <c r="Q25" s="9"/>
      <c r="R25" s="7" t="s">
        <v>122</v>
      </c>
    </row>
    <row r="26" spans="1:18" s="14" customFormat="1" ht="21.75" hidden="1" customHeight="1" x14ac:dyDescent="0.35">
      <c r="A26" s="8">
        <v>268012</v>
      </c>
      <c r="B26" s="15" t="s">
        <v>143</v>
      </c>
      <c r="C26" s="15" t="s">
        <v>144</v>
      </c>
      <c r="D26" s="15" t="s">
        <v>90</v>
      </c>
      <c r="E26" s="16">
        <v>31704</v>
      </c>
      <c r="F26" s="17">
        <f t="shared" ca="1" si="3"/>
        <v>40</v>
      </c>
      <c r="G26" s="17">
        <f t="shared" ca="1" si="0"/>
        <v>1</v>
      </c>
      <c r="H26" s="12">
        <v>3</v>
      </c>
      <c r="I26" s="12">
        <v>5</v>
      </c>
      <c r="J26" s="12">
        <v>4</v>
      </c>
      <c r="K26" s="12">
        <v>4</v>
      </c>
      <c r="L26" s="18">
        <f t="shared" ca="1" si="1"/>
        <v>3.7</v>
      </c>
      <c r="M26" s="18" t="str">
        <f t="shared" ca="1" si="2"/>
        <v>Low Impact + High Risk</v>
      </c>
      <c r="N26" s="15"/>
      <c r="O26" s="15"/>
      <c r="P26" s="15"/>
      <c r="Q26" s="15"/>
      <c r="R26" s="8" t="s">
        <v>122</v>
      </c>
    </row>
    <row r="27" spans="1:18" s="14" customFormat="1" ht="21.75" hidden="1" customHeight="1" x14ac:dyDescent="0.35">
      <c r="A27" s="7">
        <v>238030</v>
      </c>
      <c r="B27" s="9" t="s">
        <v>145</v>
      </c>
      <c r="C27" s="9" t="s">
        <v>146</v>
      </c>
      <c r="D27" s="9" t="s">
        <v>90</v>
      </c>
      <c r="E27" s="10">
        <v>27404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3</v>
      </c>
      <c r="K27" s="12">
        <v>4</v>
      </c>
      <c r="L27" s="13">
        <f t="shared" ca="1" si="1"/>
        <v>2.4</v>
      </c>
      <c r="M27" s="13" t="str">
        <f t="shared" ca="1" si="2"/>
        <v>Low Impact + Low Risk</v>
      </c>
      <c r="N27" s="9"/>
      <c r="O27" s="9"/>
      <c r="P27" s="9"/>
      <c r="Q27" s="9"/>
      <c r="R27" s="7" t="s">
        <v>122</v>
      </c>
    </row>
    <row r="28" spans="1:18" s="38" customFormat="1" ht="21.75" hidden="1" customHeight="1" x14ac:dyDescent="0.35">
      <c r="A28" s="39">
        <v>256014</v>
      </c>
      <c r="B28" s="40" t="s">
        <v>147</v>
      </c>
      <c r="C28" s="40" t="s">
        <v>148</v>
      </c>
      <c r="D28" s="40" t="s">
        <v>90</v>
      </c>
      <c r="E28" s="41">
        <v>32349</v>
      </c>
      <c r="F28" s="42">
        <f t="shared" ca="1" si="3"/>
        <v>38</v>
      </c>
      <c r="G28" s="42">
        <f t="shared" ca="1" si="0"/>
        <v>1</v>
      </c>
      <c r="H28" s="36">
        <v>4</v>
      </c>
      <c r="I28" s="36">
        <v>1</v>
      </c>
      <c r="J28" s="36">
        <v>4</v>
      </c>
      <c r="K28" s="36">
        <v>4</v>
      </c>
      <c r="L28" s="43">
        <f t="shared" ca="1" si="1"/>
        <v>2.5</v>
      </c>
      <c r="M28" s="43" t="str">
        <f t="shared" ca="1" si="2"/>
        <v>High Impact + Low Risk</v>
      </c>
      <c r="N28" s="40"/>
      <c r="O28" s="40"/>
      <c r="P28" s="40" t="s">
        <v>261</v>
      </c>
      <c r="Q28" s="40"/>
      <c r="R28" s="39" t="s">
        <v>122</v>
      </c>
    </row>
    <row r="29" spans="1:18" s="38" customFormat="1" ht="21.75" hidden="1" customHeight="1" x14ac:dyDescent="0.35">
      <c r="A29" s="32">
        <v>443003</v>
      </c>
      <c r="B29" s="33" t="s">
        <v>149</v>
      </c>
      <c r="C29" s="33" t="s">
        <v>150</v>
      </c>
      <c r="D29" s="33" t="s">
        <v>90</v>
      </c>
      <c r="E29" s="34">
        <v>28572</v>
      </c>
      <c r="F29" s="35">
        <f t="shared" ca="1" si="3"/>
        <v>48</v>
      </c>
      <c r="G29" s="35">
        <f t="shared" ca="1" si="0"/>
        <v>1</v>
      </c>
      <c r="H29" s="36">
        <v>4</v>
      </c>
      <c r="I29" s="36">
        <v>1</v>
      </c>
      <c r="J29" s="36">
        <v>4</v>
      </c>
      <c r="K29" s="36">
        <v>5</v>
      </c>
      <c r="L29" s="37">
        <f t="shared" ca="1" si="1"/>
        <v>2.7</v>
      </c>
      <c r="M29" s="37" t="str">
        <f t="shared" ca="1" si="2"/>
        <v>High Impact + Low Risk</v>
      </c>
      <c r="N29" s="33"/>
      <c r="O29" s="33"/>
      <c r="P29" s="33" t="s">
        <v>262</v>
      </c>
      <c r="Q29" s="33"/>
      <c r="R29" s="32" t="s">
        <v>122</v>
      </c>
    </row>
    <row r="30" spans="1:18" s="38" customFormat="1" ht="21.75" hidden="1" customHeight="1" x14ac:dyDescent="0.35">
      <c r="A30" s="39">
        <v>254057</v>
      </c>
      <c r="B30" s="40" t="s">
        <v>151</v>
      </c>
      <c r="C30" s="40" t="s">
        <v>152</v>
      </c>
      <c r="D30" s="40" t="s">
        <v>90</v>
      </c>
      <c r="E30" s="41">
        <v>32420</v>
      </c>
      <c r="F30" s="42">
        <f t="shared" ca="1" si="3"/>
        <v>38</v>
      </c>
      <c r="G30" s="42">
        <f t="shared" ca="1" si="0"/>
        <v>1</v>
      </c>
      <c r="H30" s="36">
        <v>4</v>
      </c>
      <c r="I30" s="36">
        <v>1</v>
      </c>
      <c r="J30" s="36">
        <v>4</v>
      </c>
      <c r="K30" s="36">
        <v>4</v>
      </c>
      <c r="L30" s="43">
        <f t="shared" ca="1" si="1"/>
        <v>2.5</v>
      </c>
      <c r="M30" s="43" t="str">
        <f t="shared" ca="1" si="2"/>
        <v>High Impact + Low Risk</v>
      </c>
      <c r="N30" s="40"/>
      <c r="O30" s="40"/>
      <c r="P30" s="40" t="s">
        <v>263</v>
      </c>
      <c r="Q30" s="40"/>
      <c r="R30" s="39" t="s">
        <v>122</v>
      </c>
    </row>
    <row r="31" spans="1:18" s="38" customFormat="1" ht="21.75" hidden="1" customHeight="1" x14ac:dyDescent="0.35">
      <c r="A31" s="32">
        <v>237011</v>
      </c>
      <c r="B31" s="33" t="s">
        <v>153</v>
      </c>
      <c r="C31" s="33" t="s">
        <v>150</v>
      </c>
      <c r="D31" s="33" t="s">
        <v>90</v>
      </c>
      <c r="E31" s="34">
        <v>25410</v>
      </c>
      <c r="F31" s="35">
        <f t="shared" ca="1" si="3"/>
        <v>57</v>
      </c>
      <c r="G31" s="35">
        <f t="shared" ca="1" si="0"/>
        <v>3</v>
      </c>
      <c r="H31" s="36">
        <v>4</v>
      </c>
      <c r="I31" s="36">
        <v>1</v>
      </c>
      <c r="J31" s="36">
        <v>4</v>
      </c>
      <c r="K31" s="36">
        <v>5</v>
      </c>
      <c r="L31" s="37">
        <f t="shared" ca="1" si="1"/>
        <v>3.1</v>
      </c>
      <c r="M31" s="37" t="str">
        <f t="shared" ca="1" si="2"/>
        <v>High Impact + Low Risk</v>
      </c>
      <c r="N31" s="33"/>
      <c r="O31" s="33"/>
      <c r="P31" s="33" t="s">
        <v>262</v>
      </c>
      <c r="Q31" s="33"/>
      <c r="R31" s="32" t="s">
        <v>122</v>
      </c>
    </row>
    <row r="32" spans="1:18" s="38" customFormat="1" ht="21.75" hidden="1" customHeight="1" x14ac:dyDescent="0.35">
      <c r="A32" s="39">
        <v>267096</v>
      </c>
      <c r="B32" s="40" t="s">
        <v>154</v>
      </c>
      <c r="C32" s="40" t="s">
        <v>155</v>
      </c>
      <c r="D32" s="40" t="s">
        <v>90</v>
      </c>
      <c r="E32" s="41">
        <v>32140</v>
      </c>
      <c r="F32" s="42">
        <f t="shared" ca="1" si="3"/>
        <v>38</v>
      </c>
      <c r="G32" s="42">
        <f t="shared" ca="1" si="0"/>
        <v>1</v>
      </c>
      <c r="H32" s="36">
        <v>4</v>
      </c>
      <c r="I32" s="36">
        <v>3</v>
      </c>
      <c r="J32" s="36">
        <v>4</v>
      </c>
      <c r="K32" s="36">
        <v>4</v>
      </c>
      <c r="L32" s="43">
        <f t="shared" ca="1" si="1"/>
        <v>3.1</v>
      </c>
      <c r="M32" s="43" t="str">
        <f t="shared" ca="1" si="2"/>
        <v>High Impact + Low Risk</v>
      </c>
      <c r="N32" s="40"/>
      <c r="O32" s="40"/>
      <c r="P32" s="40" t="s">
        <v>264</v>
      </c>
      <c r="Q32" s="40"/>
      <c r="R32" s="39" t="s">
        <v>122</v>
      </c>
    </row>
    <row r="33" spans="1:18" s="38" customFormat="1" ht="21.75" hidden="1" customHeight="1" x14ac:dyDescent="0.35">
      <c r="A33" s="32">
        <v>249048</v>
      </c>
      <c r="B33" s="33" t="s">
        <v>156</v>
      </c>
      <c r="C33" s="33" t="s">
        <v>150</v>
      </c>
      <c r="D33" s="33" t="s">
        <v>90</v>
      </c>
      <c r="E33" s="34">
        <v>29299</v>
      </c>
      <c r="F33" s="35">
        <f t="shared" ca="1" si="3"/>
        <v>46</v>
      </c>
      <c r="G33" s="35">
        <f t="shared" ca="1" si="0"/>
        <v>1</v>
      </c>
      <c r="H33" s="36">
        <v>4</v>
      </c>
      <c r="I33" s="36">
        <v>1</v>
      </c>
      <c r="J33" s="36">
        <v>4</v>
      </c>
      <c r="K33" s="36">
        <v>5</v>
      </c>
      <c r="L33" s="37">
        <f t="shared" ca="1" si="1"/>
        <v>2.7</v>
      </c>
      <c r="M33" s="37" t="str">
        <f t="shared" ca="1" si="2"/>
        <v>High Impact + Low Risk</v>
      </c>
      <c r="N33" s="33"/>
      <c r="O33" s="33"/>
      <c r="P33" s="33" t="s">
        <v>262</v>
      </c>
      <c r="Q33" s="33"/>
      <c r="R33" s="32" t="s">
        <v>122</v>
      </c>
    </row>
    <row r="34" spans="1:18" s="38" customFormat="1" ht="21.75" hidden="1" customHeight="1" x14ac:dyDescent="0.35">
      <c r="A34" s="39">
        <v>269022</v>
      </c>
      <c r="B34" s="40" t="s">
        <v>157</v>
      </c>
      <c r="C34" s="40" t="s">
        <v>158</v>
      </c>
      <c r="D34" s="40" t="s">
        <v>90</v>
      </c>
      <c r="E34" s="41">
        <v>30852</v>
      </c>
      <c r="F34" s="42">
        <f t="shared" ca="1" si="3"/>
        <v>42</v>
      </c>
      <c r="G34" s="42">
        <f t="shared" ca="1" si="0"/>
        <v>1</v>
      </c>
      <c r="H34" s="36">
        <v>4</v>
      </c>
      <c r="I34" s="36">
        <v>3</v>
      </c>
      <c r="J34" s="36">
        <v>4</v>
      </c>
      <c r="K34" s="36">
        <v>4</v>
      </c>
      <c r="L34" s="43">
        <f t="shared" ca="1" si="1"/>
        <v>3.1</v>
      </c>
      <c r="M34" s="43" t="str">
        <f t="shared" ca="1" si="2"/>
        <v>High Impact + Low Risk</v>
      </c>
      <c r="N34" s="40"/>
      <c r="O34" s="40"/>
      <c r="P34" s="40" t="s">
        <v>265</v>
      </c>
      <c r="Q34" s="40"/>
      <c r="R34" s="39" t="s">
        <v>122</v>
      </c>
    </row>
    <row r="35" spans="1:18" s="14" customFormat="1" ht="21.75" hidden="1" customHeight="1" x14ac:dyDescent="0.35">
      <c r="A35" s="7">
        <v>253014</v>
      </c>
      <c r="B35" s="9" t="s">
        <v>159</v>
      </c>
      <c r="C35" s="9" t="s">
        <v>160</v>
      </c>
      <c r="D35" s="9" t="s">
        <v>90</v>
      </c>
      <c r="E35" s="10">
        <v>30611</v>
      </c>
      <c r="F35" s="11">
        <f t="shared" ca="1" si="3"/>
        <v>43</v>
      </c>
      <c r="G35" s="11">
        <f t="shared" ca="1" si="0"/>
        <v>1</v>
      </c>
      <c r="H35" s="12">
        <v>3</v>
      </c>
      <c r="I35" s="12">
        <v>1</v>
      </c>
      <c r="J35" s="12">
        <v>3</v>
      </c>
      <c r="K35" s="12">
        <v>4</v>
      </c>
      <c r="L35" s="13">
        <f t="shared" ca="1" si="1"/>
        <v>2.2000000000000002</v>
      </c>
      <c r="M35" s="13" t="str">
        <f t="shared" ca="1" si="2"/>
        <v>Low Impact + Low Risk</v>
      </c>
      <c r="N35" s="9"/>
      <c r="O35" s="9"/>
      <c r="P35" s="9"/>
      <c r="Q35" s="9"/>
      <c r="R35" s="7" t="s">
        <v>122</v>
      </c>
    </row>
    <row r="36" spans="1:18" s="14" customFormat="1" ht="21.75" hidden="1" customHeight="1" x14ac:dyDescent="0.35">
      <c r="A36" s="8">
        <v>248031</v>
      </c>
      <c r="B36" s="15" t="s">
        <v>161</v>
      </c>
      <c r="C36" s="15" t="s">
        <v>162</v>
      </c>
      <c r="D36" s="15" t="s">
        <v>90</v>
      </c>
      <c r="E36" s="16">
        <v>29617</v>
      </c>
      <c r="F36" s="17">
        <f t="shared" ca="1" si="3"/>
        <v>45</v>
      </c>
      <c r="G36" s="17">
        <f t="shared" ca="1" si="0"/>
        <v>1</v>
      </c>
      <c r="H36" s="12">
        <v>3</v>
      </c>
      <c r="I36" s="12">
        <v>1</v>
      </c>
      <c r="J36" s="12">
        <v>4</v>
      </c>
      <c r="K36" s="12">
        <v>4</v>
      </c>
      <c r="L36" s="18">
        <f t="shared" ca="1" si="1"/>
        <v>2.5</v>
      </c>
      <c r="M36" s="18" t="str">
        <f t="shared" ca="1" si="2"/>
        <v>Low Impact + Low Risk</v>
      </c>
      <c r="N36" s="15"/>
      <c r="O36" s="15"/>
      <c r="P36" s="15"/>
      <c r="Q36" s="15"/>
      <c r="R36" s="8" t="s">
        <v>122</v>
      </c>
    </row>
    <row r="37" spans="1:18" s="38" customFormat="1" ht="21.75" hidden="1" customHeight="1" x14ac:dyDescent="0.35">
      <c r="A37" s="32">
        <v>251007</v>
      </c>
      <c r="B37" s="33" t="s">
        <v>163</v>
      </c>
      <c r="C37" s="33" t="s">
        <v>164</v>
      </c>
      <c r="D37" s="33" t="s">
        <v>90</v>
      </c>
      <c r="E37" s="34">
        <v>30522</v>
      </c>
      <c r="F37" s="35">
        <f t="shared" ca="1" si="3"/>
        <v>43</v>
      </c>
      <c r="G37" s="35">
        <f t="shared" ca="1" si="0"/>
        <v>1</v>
      </c>
      <c r="H37" s="36">
        <v>4</v>
      </c>
      <c r="I37" s="36">
        <v>1</v>
      </c>
      <c r="J37" s="36">
        <v>3</v>
      </c>
      <c r="K37" s="36">
        <v>4</v>
      </c>
      <c r="L37" s="37">
        <f t="shared" ca="1" si="1"/>
        <v>2.2000000000000002</v>
      </c>
      <c r="M37" s="37" t="str">
        <f t="shared" ca="1" si="2"/>
        <v>High Impact + Low Risk</v>
      </c>
      <c r="N37" s="33"/>
      <c r="O37" s="33"/>
      <c r="P37" s="33" t="s">
        <v>266</v>
      </c>
      <c r="Q37" s="33"/>
      <c r="R37" s="32" t="s">
        <v>122</v>
      </c>
    </row>
    <row r="38" spans="1:18" s="14" customFormat="1" ht="21.75" hidden="1" customHeight="1" x14ac:dyDescent="0.35">
      <c r="A38" s="8">
        <v>242012</v>
      </c>
      <c r="B38" s="15" t="s">
        <v>165</v>
      </c>
      <c r="C38" s="15" t="s">
        <v>166</v>
      </c>
      <c r="D38" s="15" t="s">
        <v>90</v>
      </c>
      <c r="E38" s="16">
        <v>28064</v>
      </c>
      <c r="F38" s="17">
        <f t="shared" ca="1" si="3"/>
        <v>49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5</v>
      </c>
      <c r="L38" s="18">
        <f t="shared" ca="1" si="1"/>
        <v>2.7</v>
      </c>
      <c r="M38" s="18" t="str">
        <f t="shared" ca="1" si="2"/>
        <v>Low Impact + Low Risk</v>
      </c>
      <c r="N38" s="15"/>
      <c r="O38" s="15"/>
      <c r="P38" s="15"/>
      <c r="Q38" s="15"/>
      <c r="R38" s="8" t="s">
        <v>122</v>
      </c>
    </row>
    <row r="39" spans="1:18" s="38" customFormat="1" ht="21.75" hidden="1" customHeight="1" x14ac:dyDescent="0.35">
      <c r="A39" s="32">
        <v>257039</v>
      </c>
      <c r="B39" s="33" t="s">
        <v>167</v>
      </c>
      <c r="C39" s="33" t="s">
        <v>168</v>
      </c>
      <c r="D39" s="33" t="s">
        <v>90</v>
      </c>
      <c r="E39" s="34">
        <v>32578</v>
      </c>
      <c r="F39" s="35">
        <f t="shared" ca="1" si="3"/>
        <v>37</v>
      </c>
      <c r="G39" s="35">
        <f t="shared" ca="1" si="0"/>
        <v>1</v>
      </c>
      <c r="H39" s="36">
        <v>4</v>
      </c>
      <c r="I39" s="36">
        <v>3</v>
      </c>
      <c r="J39" s="36">
        <v>4</v>
      </c>
      <c r="K39" s="36">
        <v>4</v>
      </c>
      <c r="L39" s="37">
        <f t="shared" ca="1" si="1"/>
        <v>3.1</v>
      </c>
      <c r="M39" s="37" t="str">
        <f t="shared" ca="1" si="2"/>
        <v>High Impact + Low Risk</v>
      </c>
      <c r="N39" s="33"/>
      <c r="O39" s="33"/>
      <c r="P39" s="33" t="s">
        <v>267</v>
      </c>
      <c r="Q39" s="33"/>
      <c r="R39" s="32" t="s">
        <v>122</v>
      </c>
    </row>
    <row r="40" spans="1:18" s="14" customFormat="1" ht="21.75" hidden="1" customHeight="1" x14ac:dyDescent="0.35">
      <c r="A40" s="8">
        <v>244023</v>
      </c>
      <c r="B40" s="15" t="s">
        <v>169</v>
      </c>
      <c r="C40" s="15" t="s">
        <v>170</v>
      </c>
      <c r="D40" s="15" t="s">
        <v>90</v>
      </c>
      <c r="E40" s="16">
        <v>27775</v>
      </c>
      <c r="F40" s="17">
        <f t="shared" ca="1" si="3"/>
        <v>50</v>
      </c>
      <c r="G40" s="17">
        <f t="shared" ca="1" si="0"/>
        <v>2</v>
      </c>
      <c r="H40" s="12">
        <v>3</v>
      </c>
      <c r="I40" s="12">
        <v>1</v>
      </c>
      <c r="J40" s="12">
        <v>3</v>
      </c>
      <c r="K40" s="12">
        <v>4</v>
      </c>
      <c r="L40" s="18">
        <f t="shared" ca="1" si="1"/>
        <v>2.4</v>
      </c>
      <c r="M40" s="18" t="str">
        <f t="shared" ca="1" si="2"/>
        <v>Low Impact + Low Risk</v>
      </c>
      <c r="N40" s="15"/>
      <c r="O40" s="15"/>
      <c r="P40" s="15"/>
      <c r="Q40" s="15"/>
      <c r="R40" s="8" t="s">
        <v>122</v>
      </c>
    </row>
    <row r="41" spans="1:18" s="26" customFormat="1" ht="21.75" customHeight="1" x14ac:dyDescent="0.35">
      <c r="A41" s="20">
        <v>241009</v>
      </c>
      <c r="B41" s="21" t="s">
        <v>171</v>
      </c>
      <c r="C41" s="21" t="s">
        <v>172</v>
      </c>
      <c r="D41" s="21" t="s">
        <v>90</v>
      </c>
      <c r="E41" s="22">
        <v>28315</v>
      </c>
      <c r="F41" s="23">
        <f t="shared" ca="1" si="3"/>
        <v>49</v>
      </c>
      <c r="G41" s="23">
        <f t="shared" ca="1" si="0"/>
        <v>1</v>
      </c>
      <c r="H41" s="24">
        <v>4</v>
      </c>
      <c r="I41" s="24">
        <v>3</v>
      </c>
      <c r="J41" s="24">
        <v>4</v>
      </c>
      <c r="K41" s="24">
        <v>5</v>
      </c>
      <c r="L41" s="25">
        <f t="shared" ca="1" si="1"/>
        <v>3.3</v>
      </c>
      <c r="M41" s="25" t="str">
        <f t="shared" ca="1" si="2"/>
        <v>High Impact + Low Risk</v>
      </c>
      <c r="N41" s="21" t="s">
        <v>253</v>
      </c>
      <c r="O41" s="21" t="s">
        <v>62</v>
      </c>
      <c r="P41" s="21" t="s">
        <v>268</v>
      </c>
      <c r="Q41" s="21"/>
      <c r="R41" s="20" t="s">
        <v>173</v>
      </c>
    </row>
    <row r="42" spans="1:18" s="26" customFormat="1" ht="21.75" hidden="1" customHeight="1" x14ac:dyDescent="0.35">
      <c r="A42" s="27">
        <v>368001</v>
      </c>
      <c r="B42" s="28" t="s">
        <v>174</v>
      </c>
      <c r="C42" s="28" t="s">
        <v>175</v>
      </c>
      <c r="D42" s="28" t="s">
        <v>90</v>
      </c>
      <c r="E42" s="29">
        <v>30299</v>
      </c>
      <c r="F42" s="30">
        <f t="shared" ca="1" si="3"/>
        <v>43</v>
      </c>
      <c r="G42" s="30">
        <f t="shared" ca="1" si="0"/>
        <v>1</v>
      </c>
      <c r="H42" s="24">
        <v>4</v>
      </c>
      <c r="I42" s="24">
        <v>5</v>
      </c>
      <c r="J42" s="24">
        <v>4</v>
      </c>
      <c r="K42" s="24">
        <v>3</v>
      </c>
      <c r="L42" s="31">
        <f t="shared" ca="1" si="1"/>
        <v>3.5</v>
      </c>
      <c r="M42" s="31" t="str">
        <f t="shared" ca="1" si="2"/>
        <v>High Impact + High Risk</v>
      </c>
      <c r="N42" s="28" t="s">
        <v>284</v>
      </c>
      <c r="O42" s="28"/>
      <c r="P42" s="28" t="s">
        <v>269</v>
      </c>
      <c r="Q42" s="28"/>
      <c r="R42" s="27" t="s">
        <v>173</v>
      </c>
    </row>
    <row r="43" spans="1:18" s="26" customFormat="1" ht="21.75" hidden="1" customHeight="1" x14ac:dyDescent="0.35">
      <c r="A43" s="20">
        <v>148005</v>
      </c>
      <c r="B43" s="21" t="s">
        <v>176</v>
      </c>
      <c r="C43" s="21" t="s">
        <v>177</v>
      </c>
      <c r="D43" s="21" t="s">
        <v>90</v>
      </c>
      <c r="E43" s="22">
        <v>27329</v>
      </c>
      <c r="F43" s="23">
        <f t="shared" ca="1" si="3"/>
        <v>52</v>
      </c>
      <c r="G43" s="23">
        <f t="shared" ca="1" si="0"/>
        <v>2</v>
      </c>
      <c r="H43" s="24">
        <v>4</v>
      </c>
      <c r="I43" s="24">
        <v>1</v>
      </c>
      <c r="J43" s="24">
        <v>4</v>
      </c>
      <c r="K43" s="24">
        <v>4</v>
      </c>
      <c r="L43" s="25">
        <f t="shared" ca="1" si="1"/>
        <v>2.7</v>
      </c>
      <c r="M43" s="25" t="str">
        <f t="shared" ca="1" si="2"/>
        <v>High Impact + Low Risk</v>
      </c>
      <c r="N43" s="21" t="s">
        <v>284</v>
      </c>
      <c r="O43" s="21"/>
      <c r="P43" s="21" t="s">
        <v>270</v>
      </c>
      <c r="Q43" s="21"/>
      <c r="R43" s="20" t="s">
        <v>173</v>
      </c>
    </row>
    <row r="44" spans="1:18" s="14" customFormat="1" ht="21.75" hidden="1" customHeight="1" x14ac:dyDescent="0.35">
      <c r="A44" s="7">
        <v>267071</v>
      </c>
      <c r="B44" s="9" t="s">
        <v>91</v>
      </c>
      <c r="C44" s="9" t="s">
        <v>92</v>
      </c>
      <c r="D44" s="9" t="s">
        <v>90</v>
      </c>
      <c r="E44" s="10">
        <v>28726</v>
      </c>
      <c r="F44" s="11">
        <f t="shared" ca="1" si="3"/>
        <v>48</v>
      </c>
      <c r="G44" s="11">
        <f t="shared" ca="1" si="0"/>
        <v>1</v>
      </c>
      <c r="H44" s="12">
        <v>4</v>
      </c>
      <c r="I44" s="12">
        <v>1</v>
      </c>
      <c r="J44" s="12">
        <v>2</v>
      </c>
      <c r="K44" s="12">
        <v>2</v>
      </c>
      <c r="L44" s="13">
        <f t="shared" ca="1" si="1"/>
        <v>1.5</v>
      </c>
      <c r="M44" s="13" t="str">
        <f t="shared" ca="1" si="2"/>
        <v>High Impact + Low Risk</v>
      </c>
      <c r="N44" s="9" t="s">
        <v>284</v>
      </c>
      <c r="O44" s="9"/>
      <c r="P44" s="9" t="s">
        <v>271</v>
      </c>
      <c r="Q44" s="9"/>
      <c r="R44" s="7" t="s">
        <v>93</v>
      </c>
    </row>
    <row r="45" spans="1:18" s="14" customFormat="1" ht="21.75" hidden="1" customHeight="1" x14ac:dyDescent="0.35">
      <c r="A45" s="8">
        <v>268051</v>
      </c>
      <c r="B45" s="15" t="s">
        <v>94</v>
      </c>
      <c r="C45" s="15" t="s">
        <v>95</v>
      </c>
      <c r="D45" s="15" t="s">
        <v>90</v>
      </c>
      <c r="E45" s="16">
        <v>37469</v>
      </c>
      <c r="F45" s="17">
        <f t="shared" ca="1" si="3"/>
        <v>24</v>
      </c>
      <c r="G45" s="17">
        <f t="shared" ca="1" si="0"/>
        <v>1</v>
      </c>
      <c r="H45" s="12">
        <v>4</v>
      </c>
      <c r="I45" s="12">
        <v>5</v>
      </c>
      <c r="J45" s="12">
        <v>2</v>
      </c>
      <c r="K45" s="12">
        <v>2</v>
      </c>
      <c r="L45" s="18">
        <f t="shared" ca="1" si="1"/>
        <v>2.7</v>
      </c>
      <c r="M45" s="18" t="str">
        <f t="shared" ca="1" si="2"/>
        <v>High Impact + Low Risk</v>
      </c>
      <c r="N45" s="15" t="s">
        <v>284</v>
      </c>
      <c r="O45" s="15"/>
      <c r="P45" s="15" t="s">
        <v>272</v>
      </c>
      <c r="Q45" s="15"/>
      <c r="R45" s="8" t="s">
        <v>93</v>
      </c>
    </row>
    <row r="46" spans="1:18" s="14" customFormat="1" ht="21.75" hidden="1" customHeight="1" x14ac:dyDescent="0.35">
      <c r="A46" s="7">
        <v>269032</v>
      </c>
      <c r="B46" s="9" t="s">
        <v>96</v>
      </c>
      <c r="C46" s="9" t="s">
        <v>97</v>
      </c>
      <c r="D46" s="9" t="s">
        <v>90</v>
      </c>
      <c r="E46" s="10">
        <v>30484</v>
      </c>
      <c r="F46" s="11">
        <f t="shared" ca="1" si="3"/>
        <v>43</v>
      </c>
      <c r="G46" s="11">
        <f t="shared" ca="1" si="0"/>
        <v>1</v>
      </c>
      <c r="H46" s="12">
        <v>4</v>
      </c>
      <c r="I46" s="12">
        <v>3</v>
      </c>
      <c r="J46" s="12">
        <v>2</v>
      </c>
      <c r="K46" s="12">
        <v>2</v>
      </c>
      <c r="L46" s="13">
        <f t="shared" ca="1" si="1"/>
        <v>2.1</v>
      </c>
      <c r="M46" s="13" t="str">
        <f t="shared" ca="1" si="2"/>
        <v>High Impact + Low Risk</v>
      </c>
      <c r="N46" s="9" t="s">
        <v>284</v>
      </c>
      <c r="O46" s="9"/>
      <c r="P46" s="9" t="s">
        <v>273</v>
      </c>
      <c r="Q46" s="9"/>
      <c r="R46" s="7" t="s">
        <v>93</v>
      </c>
    </row>
    <row r="47" spans="1:18" s="14" customFormat="1" ht="21.75" customHeight="1" x14ac:dyDescent="0.35">
      <c r="A47" s="8">
        <v>250051</v>
      </c>
      <c r="B47" s="15" t="s">
        <v>98</v>
      </c>
      <c r="C47" s="15" t="s">
        <v>99</v>
      </c>
      <c r="D47" s="15" t="s">
        <v>90</v>
      </c>
      <c r="E47" s="16">
        <v>29866</v>
      </c>
      <c r="F47" s="17">
        <f t="shared" ca="1" si="3"/>
        <v>45</v>
      </c>
      <c r="G47" s="17">
        <f t="shared" ca="1" si="0"/>
        <v>1</v>
      </c>
      <c r="H47" s="12">
        <v>4</v>
      </c>
      <c r="I47" s="12">
        <v>1</v>
      </c>
      <c r="J47" s="12">
        <v>2</v>
      </c>
      <c r="K47" s="12">
        <v>2</v>
      </c>
      <c r="L47" s="18">
        <f t="shared" ca="1" si="1"/>
        <v>1.5</v>
      </c>
      <c r="M47" s="18" t="str">
        <f t="shared" ca="1" si="2"/>
        <v>High Impact + Low Risk</v>
      </c>
      <c r="N47" s="15" t="s">
        <v>254</v>
      </c>
      <c r="O47" s="15" t="s">
        <v>255</v>
      </c>
      <c r="P47" s="15" t="s">
        <v>274</v>
      </c>
      <c r="Q47" s="15"/>
      <c r="R47" s="8" t="s">
        <v>93</v>
      </c>
    </row>
    <row r="48" spans="1:18" s="14" customFormat="1" ht="21.75" hidden="1" customHeight="1" x14ac:dyDescent="0.35">
      <c r="A48" s="7">
        <v>146037</v>
      </c>
      <c r="B48" s="9" t="s">
        <v>184</v>
      </c>
      <c r="C48" s="9" t="s">
        <v>185</v>
      </c>
      <c r="D48" s="9" t="s">
        <v>90</v>
      </c>
      <c r="E48" s="10" t="s">
        <v>186</v>
      </c>
      <c r="F48" s="11">
        <v>60</v>
      </c>
      <c r="G48" s="11">
        <v>5</v>
      </c>
      <c r="H48" s="12">
        <v>5</v>
      </c>
      <c r="I48" s="12">
        <v>3</v>
      </c>
      <c r="J48" s="12">
        <v>4</v>
      </c>
      <c r="K48" s="12">
        <v>5</v>
      </c>
      <c r="L48" s="13">
        <f t="shared" ref="L48:L67" si="6">IF(OR(I48="",J48="",K48="",G48=""),"",ROUND(G48*0.2+I48*0.3+J48*0.3+K48*0.2,2))</f>
        <v>4.0999999999999996</v>
      </c>
      <c r="M48" s="13" t="str">
        <f t="shared" ref="M48:M67" si="7">IF(OR(H48="",L48=""),"",IF(AND(H48&gt;=4,L48&gt;=3.5),"High Impact + High Risk",IF(AND(H48&gt;=4,L48&lt;3.5),"High Impact + Low Risk",IF(AND(H48&lt;4,L48&gt;=3.5),"Low Impact + High Risk","Low Impact + Low Risk"))))</f>
        <v>High Impact + High Risk</v>
      </c>
      <c r="N48" s="9" t="s">
        <v>284</v>
      </c>
      <c r="O48" s="9"/>
      <c r="P48" s="9" t="s">
        <v>275</v>
      </c>
      <c r="Q48" s="9"/>
      <c r="R48" s="7" t="s">
        <v>242</v>
      </c>
    </row>
    <row r="49" spans="1:18" s="14" customFormat="1" ht="21.75" customHeight="1" x14ac:dyDescent="0.35">
      <c r="A49" s="8">
        <v>139013</v>
      </c>
      <c r="B49" s="15" t="s">
        <v>187</v>
      </c>
      <c r="C49" s="15" t="s">
        <v>188</v>
      </c>
      <c r="D49" s="15" t="s">
        <v>90</v>
      </c>
      <c r="E49" s="16" t="s">
        <v>189</v>
      </c>
      <c r="F49" s="17">
        <v>58</v>
      </c>
      <c r="G49" s="17">
        <v>4</v>
      </c>
      <c r="H49" s="12">
        <v>5</v>
      </c>
      <c r="I49" s="12">
        <v>3</v>
      </c>
      <c r="J49" s="12">
        <v>4</v>
      </c>
      <c r="K49" s="12">
        <v>5</v>
      </c>
      <c r="L49" s="18">
        <f t="shared" si="6"/>
        <v>3.9</v>
      </c>
      <c r="M49" s="18" t="str">
        <f t="shared" si="7"/>
        <v>High Impact + High Risk</v>
      </c>
      <c r="N49" s="15" t="s">
        <v>208</v>
      </c>
      <c r="O49" s="15" t="s">
        <v>252</v>
      </c>
      <c r="P49" s="15" t="s">
        <v>276</v>
      </c>
      <c r="Q49" s="15"/>
      <c r="R49" s="8" t="s">
        <v>242</v>
      </c>
    </row>
    <row r="50" spans="1:18" s="14" customFormat="1" ht="21.75" hidden="1" customHeight="1" x14ac:dyDescent="0.35">
      <c r="A50" s="7">
        <v>145015</v>
      </c>
      <c r="B50" s="9" t="s">
        <v>190</v>
      </c>
      <c r="C50" s="9" t="s">
        <v>191</v>
      </c>
      <c r="D50" s="9" t="s">
        <v>90</v>
      </c>
      <c r="E50" s="10" t="s">
        <v>192</v>
      </c>
      <c r="F50" s="11">
        <v>50</v>
      </c>
      <c r="G50" s="11">
        <v>2</v>
      </c>
      <c r="H50" s="12">
        <v>4</v>
      </c>
      <c r="I50" s="12">
        <v>3</v>
      </c>
      <c r="J50" s="12">
        <v>4</v>
      </c>
      <c r="K50" s="12">
        <v>4</v>
      </c>
      <c r="L50" s="13">
        <f t="shared" si="6"/>
        <v>3.3</v>
      </c>
      <c r="M50" s="13" t="str">
        <f t="shared" si="7"/>
        <v>High Impact + Low Risk</v>
      </c>
      <c r="N50" s="9" t="s">
        <v>284</v>
      </c>
      <c r="O50" s="9"/>
      <c r="P50" s="9" t="s">
        <v>277</v>
      </c>
      <c r="Q50" s="9"/>
      <c r="R50" s="7" t="s">
        <v>242</v>
      </c>
    </row>
    <row r="51" spans="1:18" s="14" customFormat="1" ht="21.75" hidden="1" customHeight="1" x14ac:dyDescent="0.35">
      <c r="A51" s="8">
        <v>161005</v>
      </c>
      <c r="B51" s="15" t="s">
        <v>193</v>
      </c>
      <c r="C51" s="15" t="s">
        <v>194</v>
      </c>
      <c r="D51" s="15" t="s">
        <v>90</v>
      </c>
      <c r="E51" s="16" t="s">
        <v>195</v>
      </c>
      <c r="F51" s="17">
        <v>45</v>
      </c>
      <c r="G51" s="17">
        <v>1</v>
      </c>
      <c r="H51" s="12">
        <v>2</v>
      </c>
      <c r="I51" s="12">
        <v>1</v>
      </c>
      <c r="J51" s="12">
        <v>3</v>
      </c>
      <c r="K51" s="12">
        <v>3</v>
      </c>
      <c r="L51" s="18">
        <f t="shared" si="6"/>
        <v>2</v>
      </c>
      <c r="M51" s="18" t="str">
        <f t="shared" si="7"/>
        <v>Low Impact + Low Risk</v>
      </c>
      <c r="N51" s="15"/>
      <c r="O51" s="15"/>
      <c r="P51" s="15"/>
      <c r="Q51" s="15"/>
      <c r="R51" s="8" t="s">
        <v>242</v>
      </c>
    </row>
    <row r="52" spans="1:18" s="14" customFormat="1" ht="21.75" hidden="1" customHeight="1" x14ac:dyDescent="0.35">
      <c r="A52" s="7">
        <v>163003</v>
      </c>
      <c r="B52" s="9" t="s">
        <v>196</v>
      </c>
      <c r="C52" s="9" t="s">
        <v>197</v>
      </c>
      <c r="D52" s="9" t="s">
        <v>90</v>
      </c>
      <c r="E52" s="10" t="s">
        <v>198</v>
      </c>
      <c r="F52" s="11">
        <v>34</v>
      </c>
      <c r="G52" s="11">
        <v>1</v>
      </c>
      <c r="H52" s="12">
        <v>3</v>
      </c>
      <c r="I52" s="12">
        <v>3</v>
      </c>
      <c r="J52" s="12">
        <v>2</v>
      </c>
      <c r="K52" s="12">
        <v>3</v>
      </c>
      <c r="L52" s="13">
        <f t="shared" si="6"/>
        <v>2.2999999999999998</v>
      </c>
      <c r="M52" s="13" t="str">
        <f t="shared" si="7"/>
        <v>Low Impact + Low Risk</v>
      </c>
      <c r="N52" s="9"/>
      <c r="O52" s="9"/>
      <c r="P52" s="9"/>
      <c r="Q52" s="9"/>
      <c r="R52" s="7" t="s">
        <v>242</v>
      </c>
    </row>
    <row r="53" spans="1:18" s="14" customFormat="1" ht="21.75" hidden="1" customHeight="1" x14ac:dyDescent="0.35">
      <c r="A53" s="8">
        <v>166024</v>
      </c>
      <c r="B53" s="15" t="s">
        <v>199</v>
      </c>
      <c r="C53" s="15" t="s">
        <v>200</v>
      </c>
      <c r="D53" s="15" t="s">
        <v>90</v>
      </c>
      <c r="E53" s="16" t="s">
        <v>201</v>
      </c>
      <c r="F53" s="17">
        <v>27</v>
      </c>
      <c r="G53" s="17">
        <v>1</v>
      </c>
      <c r="H53" s="12">
        <v>2</v>
      </c>
      <c r="I53" s="12">
        <v>3</v>
      </c>
      <c r="J53" s="12">
        <v>2</v>
      </c>
      <c r="K53" s="12">
        <v>3</v>
      </c>
      <c r="L53" s="18">
        <f t="shared" si="6"/>
        <v>2.2999999999999998</v>
      </c>
      <c r="M53" s="18" t="str">
        <f t="shared" si="7"/>
        <v>Low Impact + Low Risk</v>
      </c>
      <c r="N53" s="15"/>
      <c r="O53" s="15"/>
      <c r="P53" s="15"/>
      <c r="Q53" s="15"/>
      <c r="R53" s="8" t="s">
        <v>242</v>
      </c>
    </row>
    <row r="54" spans="1:18" s="14" customFormat="1" ht="21.75" hidden="1" customHeight="1" x14ac:dyDescent="0.35">
      <c r="A54" s="7">
        <v>167001</v>
      </c>
      <c r="B54" s="9" t="s">
        <v>202</v>
      </c>
      <c r="C54" s="9" t="s">
        <v>203</v>
      </c>
      <c r="D54" s="9" t="s">
        <v>90</v>
      </c>
      <c r="E54" s="10" t="s">
        <v>204</v>
      </c>
      <c r="F54" s="11">
        <v>37</v>
      </c>
      <c r="G54" s="11">
        <v>1</v>
      </c>
      <c r="H54" s="12">
        <v>3</v>
      </c>
      <c r="I54" s="12">
        <v>5</v>
      </c>
      <c r="J54" s="12">
        <v>3</v>
      </c>
      <c r="K54" s="12">
        <v>3</v>
      </c>
      <c r="L54" s="13">
        <f t="shared" si="6"/>
        <v>3.2</v>
      </c>
      <c r="M54" s="13" t="str">
        <f t="shared" si="7"/>
        <v>Low Impact + Low Risk</v>
      </c>
      <c r="N54" s="9"/>
      <c r="O54" s="9"/>
      <c r="P54" s="9"/>
      <c r="Q54" s="9"/>
      <c r="R54" s="7" t="s">
        <v>242</v>
      </c>
    </row>
    <row r="55" spans="1:18" s="14" customFormat="1" ht="21.75" hidden="1" customHeight="1" x14ac:dyDescent="0.35">
      <c r="A55" s="8">
        <v>167012</v>
      </c>
      <c r="B55" s="15" t="s">
        <v>205</v>
      </c>
      <c r="C55" s="15" t="s">
        <v>206</v>
      </c>
      <c r="D55" s="15" t="s">
        <v>90</v>
      </c>
      <c r="E55" s="16" t="s">
        <v>207</v>
      </c>
      <c r="F55" s="17">
        <v>31</v>
      </c>
      <c r="G55" s="17">
        <v>1</v>
      </c>
      <c r="H55" s="12">
        <v>2</v>
      </c>
      <c r="I55" s="12">
        <v>3</v>
      </c>
      <c r="J55" s="12">
        <v>3</v>
      </c>
      <c r="K55" s="12">
        <v>3</v>
      </c>
      <c r="L55" s="18">
        <f t="shared" si="6"/>
        <v>2.6</v>
      </c>
      <c r="M55" s="18" t="str">
        <f t="shared" si="7"/>
        <v>Low Impact + Low Risk</v>
      </c>
      <c r="N55" s="15"/>
      <c r="O55" s="15"/>
      <c r="P55" s="15"/>
      <c r="Q55" s="15"/>
      <c r="R55" s="8" t="s">
        <v>242</v>
      </c>
    </row>
    <row r="56" spans="1:18" s="14" customFormat="1" ht="21.75" hidden="1" customHeight="1" x14ac:dyDescent="0.35">
      <c r="A56" s="7">
        <v>260001</v>
      </c>
      <c r="B56" s="9" t="s">
        <v>208</v>
      </c>
      <c r="C56" s="9" t="s">
        <v>209</v>
      </c>
      <c r="D56" s="9" t="s">
        <v>90</v>
      </c>
      <c r="E56" s="10" t="s">
        <v>210</v>
      </c>
      <c r="F56" s="11">
        <v>35</v>
      </c>
      <c r="G56" s="11">
        <v>1</v>
      </c>
      <c r="H56" s="12">
        <v>5</v>
      </c>
      <c r="I56" s="12">
        <v>4</v>
      </c>
      <c r="J56" s="12">
        <v>4</v>
      </c>
      <c r="K56" s="12">
        <v>5</v>
      </c>
      <c r="L56" s="13">
        <f t="shared" si="6"/>
        <v>3.6</v>
      </c>
      <c r="M56" s="13" t="str">
        <f t="shared" si="7"/>
        <v>High Impact + High Risk</v>
      </c>
      <c r="N56" s="9" t="s">
        <v>284</v>
      </c>
      <c r="O56" s="9"/>
      <c r="P56" s="9" t="s">
        <v>278</v>
      </c>
      <c r="Q56" s="9"/>
      <c r="R56" s="7" t="s">
        <v>242</v>
      </c>
    </row>
    <row r="57" spans="1:18" s="14" customFormat="1" ht="21.75" hidden="1" customHeight="1" x14ac:dyDescent="0.35">
      <c r="A57" s="8">
        <v>267001</v>
      </c>
      <c r="B57" s="15" t="s">
        <v>211</v>
      </c>
      <c r="C57" s="15" t="s">
        <v>212</v>
      </c>
      <c r="D57" s="15" t="s">
        <v>90</v>
      </c>
      <c r="E57" s="16" t="s">
        <v>213</v>
      </c>
      <c r="F57" s="17">
        <v>31</v>
      </c>
      <c r="G57" s="17">
        <v>1</v>
      </c>
      <c r="H57" s="12">
        <v>3</v>
      </c>
      <c r="I57" s="12">
        <v>4</v>
      </c>
      <c r="J57" s="12">
        <v>3</v>
      </c>
      <c r="K57" s="12">
        <v>3</v>
      </c>
      <c r="L57" s="18">
        <f t="shared" si="6"/>
        <v>2.9</v>
      </c>
      <c r="M57" s="18" t="str">
        <f t="shared" si="7"/>
        <v>Low Impact + Low Risk</v>
      </c>
      <c r="N57" s="15"/>
      <c r="O57" s="15"/>
      <c r="P57" s="15"/>
      <c r="Q57" s="15"/>
      <c r="R57" s="8" t="s">
        <v>242</v>
      </c>
    </row>
    <row r="58" spans="1:18" s="14" customFormat="1" ht="21.75" hidden="1" customHeight="1" x14ac:dyDescent="0.35">
      <c r="A58" s="7">
        <v>160001</v>
      </c>
      <c r="B58" s="9" t="s">
        <v>214</v>
      </c>
      <c r="C58" s="9" t="s">
        <v>215</v>
      </c>
      <c r="D58" s="9" t="s">
        <v>90</v>
      </c>
      <c r="E58" s="10" t="s">
        <v>216</v>
      </c>
      <c r="F58" s="11">
        <v>46</v>
      </c>
      <c r="G58" s="11">
        <v>1</v>
      </c>
      <c r="H58" s="12">
        <v>4</v>
      </c>
      <c r="I58" s="12">
        <v>3</v>
      </c>
      <c r="J58" s="12">
        <v>4</v>
      </c>
      <c r="K58" s="12">
        <v>4</v>
      </c>
      <c r="L58" s="13">
        <f t="shared" si="6"/>
        <v>3.1</v>
      </c>
      <c r="M58" s="13" t="str">
        <f t="shared" si="7"/>
        <v>High Impact + Low Risk</v>
      </c>
      <c r="N58" s="9" t="s">
        <v>284</v>
      </c>
      <c r="O58" s="9"/>
      <c r="P58" s="9" t="s">
        <v>279</v>
      </c>
      <c r="Q58" s="9"/>
      <c r="R58" s="7" t="s">
        <v>242</v>
      </c>
    </row>
    <row r="59" spans="1:18" s="14" customFormat="1" ht="21.75" hidden="1" customHeight="1" x14ac:dyDescent="0.35">
      <c r="A59" s="7">
        <v>167020</v>
      </c>
      <c r="B59" s="9" t="s">
        <v>217</v>
      </c>
      <c r="C59" s="9" t="s">
        <v>218</v>
      </c>
      <c r="D59" s="9" t="s">
        <v>90</v>
      </c>
      <c r="E59" s="10" t="s">
        <v>219</v>
      </c>
      <c r="F59" s="11">
        <v>51</v>
      </c>
      <c r="G59" s="11">
        <v>2</v>
      </c>
      <c r="H59" s="12">
        <v>3</v>
      </c>
      <c r="I59" s="12">
        <v>3</v>
      </c>
      <c r="J59" s="12">
        <v>3</v>
      </c>
      <c r="K59" s="12">
        <v>4</v>
      </c>
      <c r="L59" s="13">
        <f t="shared" si="6"/>
        <v>3</v>
      </c>
      <c r="M59" s="13" t="str">
        <f t="shared" si="7"/>
        <v>Low Impact + Low Risk</v>
      </c>
      <c r="N59" s="9"/>
      <c r="O59" s="9"/>
      <c r="P59" s="9"/>
      <c r="Q59" s="9"/>
      <c r="R59" s="7" t="s">
        <v>242</v>
      </c>
    </row>
    <row r="60" spans="1:18" s="14" customFormat="1" ht="21.75" hidden="1" customHeight="1" x14ac:dyDescent="0.35">
      <c r="A60" s="8">
        <v>167029</v>
      </c>
      <c r="B60" s="15" t="s">
        <v>220</v>
      </c>
      <c r="C60" s="15" t="s">
        <v>221</v>
      </c>
      <c r="D60" s="15" t="s">
        <v>90</v>
      </c>
      <c r="E60" s="16" t="s">
        <v>222</v>
      </c>
      <c r="F60" s="17">
        <v>35</v>
      </c>
      <c r="G60" s="17">
        <v>1</v>
      </c>
      <c r="H60" s="12">
        <v>5</v>
      </c>
      <c r="I60" s="12">
        <v>3</v>
      </c>
      <c r="J60" s="12">
        <v>4</v>
      </c>
      <c r="K60" s="12">
        <v>5</v>
      </c>
      <c r="L60" s="18">
        <f t="shared" si="6"/>
        <v>3.3</v>
      </c>
      <c r="M60" s="18" t="str">
        <f t="shared" si="7"/>
        <v>High Impact + Low Risk</v>
      </c>
      <c r="N60" s="15" t="s">
        <v>284</v>
      </c>
      <c r="O60" s="15"/>
      <c r="P60" s="15" t="s">
        <v>280</v>
      </c>
      <c r="Q60" s="15"/>
      <c r="R60" s="8" t="s">
        <v>242</v>
      </c>
    </row>
    <row r="61" spans="1:18" s="14" customFormat="1" ht="21.75" hidden="1" customHeight="1" x14ac:dyDescent="0.35">
      <c r="A61" s="7">
        <v>167032</v>
      </c>
      <c r="B61" s="9" t="s">
        <v>223</v>
      </c>
      <c r="C61" s="9" t="s">
        <v>224</v>
      </c>
      <c r="D61" s="9" t="s">
        <v>90</v>
      </c>
      <c r="E61" s="10" t="s">
        <v>225</v>
      </c>
      <c r="F61" s="11">
        <v>29</v>
      </c>
      <c r="G61" s="11">
        <v>1</v>
      </c>
      <c r="H61" s="12">
        <v>3</v>
      </c>
      <c r="I61" s="12">
        <v>5</v>
      </c>
      <c r="J61" s="12">
        <v>3</v>
      </c>
      <c r="K61" s="12">
        <v>3</v>
      </c>
      <c r="L61" s="13">
        <f t="shared" si="6"/>
        <v>3.2</v>
      </c>
      <c r="M61" s="13" t="str">
        <f t="shared" si="7"/>
        <v>Low Impact + Low Risk</v>
      </c>
      <c r="N61" s="9"/>
      <c r="O61" s="9"/>
      <c r="P61" s="9"/>
      <c r="Q61" s="9"/>
      <c r="R61" s="7" t="s">
        <v>242</v>
      </c>
    </row>
    <row r="62" spans="1:18" s="14" customFormat="1" ht="21.75" hidden="1" customHeight="1" x14ac:dyDescent="0.35">
      <c r="A62" s="8">
        <v>168024</v>
      </c>
      <c r="B62" s="15" t="s">
        <v>226</v>
      </c>
      <c r="C62" s="15" t="s">
        <v>227</v>
      </c>
      <c r="D62" s="15" t="s">
        <v>90</v>
      </c>
      <c r="E62" s="16" t="s">
        <v>228</v>
      </c>
      <c r="F62" s="17">
        <v>46</v>
      </c>
      <c r="G62" s="17">
        <v>1</v>
      </c>
      <c r="H62" s="12">
        <v>5</v>
      </c>
      <c r="I62" s="12">
        <v>3</v>
      </c>
      <c r="J62" s="12">
        <v>4</v>
      </c>
      <c r="K62" s="12">
        <v>5</v>
      </c>
      <c r="L62" s="18">
        <f t="shared" si="6"/>
        <v>3.3</v>
      </c>
      <c r="M62" s="18" t="str">
        <f t="shared" si="7"/>
        <v>High Impact + Low Risk</v>
      </c>
      <c r="N62" s="15" t="s">
        <v>284</v>
      </c>
      <c r="O62" s="15"/>
      <c r="P62" s="15" t="s">
        <v>281</v>
      </c>
      <c r="Q62" s="15"/>
      <c r="R62" s="8" t="s">
        <v>242</v>
      </c>
    </row>
    <row r="63" spans="1:18" s="14" customFormat="1" ht="21.75" hidden="1" customHeight="1" x14ac:dyDescent="0.35">
      <c r="A63" s="8">
        <v>337004</v>
      </c>
      <c r="B63" s="15" t="s">
        <v>229</v>
      </c>
      <c r="C63" s="15" t="s">
        <v>230</v>
      </c>
      <c r="D63" s="15" t="s">
        <v>90</v>
      </c>
      <c r="E63" s="16" t="s">
        <v>231</v>
      </c>
      <c r="F63" s="17">
        <v>55</v>
      </c>
      <c r="G63" s="17">
        <v>3</v>
      </c>
      <c r="H63" s="12">
        <v>3</v>
      </c>
      <c r="I63" s="12">
        <v>1</v>
      </c>
      <c r="J63" s="12">
        <v>3</v>
      </c>
      <c r="K63" s="12">
        <v>4</v>
      </c>
      <c r="L63" s="18">
        <f t="shared" si="6"/>
        <v>2.6</v>
      </c>
      <c r="M63" s="18" t="str">
        <f t="shared" si="7"/>
        <v>Low Impact + Low Risk</v>
      </c>
      <c r="N63" s="15"/>
      <c r="O63" s="15"/>
      <c r="P63" s="15"/>
      <c r="Q63" s="15"/>
      <c r="R63" s="8" t="s">
        <v>242</v>
      </c>
    </row>
    <row r="64" spans="1:18" s="14" customFormat="1" ht="21.75" hidden="1" customHeight="1" x14ac:dyDescent="0.35">
      <c r="A64" s="8">
        <v>268044</v>
      </c>
      <c r="B64" s="15" t="s">
        <v>233</v>
      </c>
      <c r="C64" s="15" t="s">
        <v>232</v>
      </c>
      <c r="D64" s="15" t="s">
        <v>90</v>
      </c>
      <c r="E64" s="16" t="s">
        <v>234</v>
      </c>
      <c r="F64" s="17">
        <v>28</v>
      </c>
      <c r="G64" s="17">
        <v>1</v>
      </c>
      <c r="H64" s="12">
        <v>3</v>
      </c>
      <c r="I64" s="12">
        <v>4</v>
      </c>
      <c r="J64" s="12">
        <v>3</v>
      </c>
      <c r="K64" s="12">
        <v>3</v>
      </c>
      <c r="L64" s="18">
        <f t="shared" si="6"/>
        <v>2.9</v>
      </c>
      <c r="M64" s="18" t="str">
        <f t="shared" si="7"/>
        <v>Low Impact + Low Risk</v>
      </c>
      <c r="N64" s="15"/>
      <c r="O64" s="15"/>
      <c r="P64" s="15"/>
      <c r="Q64" s="15"/>
      <c r="R64" s="8" t="s">
        <v>242</v>
      </c>
    </row>
    <row r="65" spans="1:18" s="14" customFormat="1" ht="21.75" hidden="1" customHeight="1" x14ac:dyDescent="0.35">
      <c r="A65" s="7">
        <v>368004</v>
      </c>
      <c r="B65" s="9" t="s">
        <v>235</v>
      </c>
      <c r="C65" s="9" t="s">
        <v>236</v>
      </c>
      <c r="D65" s="9" t="s">
        <v>90</v>
      </c>
      <c r="E65" s="10" t="s">
        <v>237</v>
      </c>
      <c r="F65" s="11">
        <v>59</v>
      </c>
      <c r="G65" s="11">
        <v>4</v>
      </c>
      <c r="H65" s="12">
        <v>4</v>
      </c>
      <c r="I65" s="12">
        <v>3</v>
      </c>
      <c r="J65" s="12">
        <v>4</v>
      </c>
      <c r="K65" s="12">
        <v>4</v>
      </c>
      <c r="L65" s="13">
        <f t="shared" si="6"/>
        <v>3.7</v>
      </c>
      <c r="M65" s="13" t="str">
        <f t="shared" si="7"/>
        <v>High Impact + High Risk</v>
      </c>
      <c r="N65" s="9" t="s">
        <v>284</v>
      </c>
      <c r="O65" s="9"/>
      <c r="P65" s="9" t="s">
        <v>288</v>
      </c>
      <c r="Q65" s="9"/>
      <c r="R65" s="7" t="s">
        <v>242</v>
      </c>
    </row>
    <row r="66" spans="1:18" s="14" customFormat="1" ht="21.75" hidden="1" customHeight="1" x14ac:dyDescent="0.35">
      <c r="A66" s="7" t="s">
        <v>238</v>
      </c>
      <c r="B66" s="9" t="s">
        <v>128</v>
      </c>
      <c r="C66" s="9" t="s">
        <v>239</v>
      </c>
      <c r="D66" s="9" t="s">
        <v>90</v>
      </c>
      <c r="E66" s="10" t="s">
        <v>240</v>
      </c>
      <c r="F66" s="11">
        <v>55</v>
      </c>
      <c r="G66" s="11">
        <v>3</v>
      </c>
      <c r="H66" s="12">
        <v>4</v>
      </c>
      <c r="I66" s="12">
        <v>4</v>
      </c>
      <c r="J66" s="12">
        <v>4</v>
      </c>
      <c r="K66" s="12">
        <v>4</v>
      </c>
      <c r="L66" s="13">
        <f t="shared" si="6"/>
        <v>3.8</v>
      </c>
      <c r="M66" s="13" t="str">
        <f t="shared" si="7"/>
        <v>High Impact + High Risk</v>
      </c>
      <c r="N66" s="9" t="s">
        <v>284</v>
      </c>
      <c r="O66" s="9"/>
      <c r="P66" s="9" t="s">
        <v>286</v>
      </c>
      <c r="Q66" s="9"/>
      <c r="R66" s="7" t="s">
        <v>242</v>
      </c>
    </row>
    <row r="67" spans="1:18" s="26" customFormat="1" ht="21.75" hidden="1" customHeight="1" x14ac:dyDescent="0.35">
      <c r="A67" s="20">
        <v>168016</v>
      </c>
      <c r="B67" s="21" t="s">
        <v>243</v>
      </c>
      <c r="C67" s="21" t="s">
        <v>244</v>
      </c>
      <c r="D67" s="21" t="s">
        <v>90</v>
      </c>
      <c r="E67" s="22" t="s">
        <v>245</v>
      </c>
      <c r="F67" s="23">
        <v>35</v>
      </c>
      <c r="G67" s="23">
        <v>1</v>
      </c>
      <c r="H67" s="24">
        <v>4</v>
      </c>
      <c r="I67" s="24">
        <v>3</v>
      </c>
      <c r="J67" s="24">
        <v>4</v>
      </c>
      <c r="K67" s="24">
        <v>1</v>
      </c>
      <c r="L67" s="25">
        <f t="shared" si="6"/>
        <v>2.5</v>
      </c>
      <c r="M67" s="25" t="str">
        <f t="shared" si="7"/>
        <v>High Impact + Low Risk</v>
      </c>
      <c r="N67" s="21" t="s">
        <v>284</v>
      </c>
      <c r="O67" s="21" t="s">
        <v>241</v>
      </c>
      <c r="P67" s="21" t="s">
        <v>282</v>
      </c>
      <c r="Q67" s="21"/>
      <c r="R67" s="20" t="s">
        <v>246</v>
      </c>
    </row>
    <row r="68" spans="1:18" s="14" customFormat="1" ht="21.75" customHeight="1" x14ac:dyDescent="0.35">
      <c r="A68" s="8">
        <v>258026</v>
      </c>
      <c r="B68" s="15" t="s">
        <v>247</v>
      </c>
      <c r="C68" s="15" t="s">
        <v>248</v>
      </c>
      <c r="D68" s="15" t="s">
        <v>90</v>
      </c>
      <c r="E68" s="16" t="s">
        <v>249</v>
      </c>
      <c r="F68" s="17">
        <v>42</v>
      </c>
      <c r="G68" s="17">
        <v>1</v>
      </c>
      <c r="H68" s="12">
        <v>4</v>
      </c>
      <c r="I68" s="12">
        <v>3</v>
      </c>
      <c r="J68" s="12">
        <v>4</v>
      </c>
      <c r="K68" s="12">
        <v>3</v>
      </c>
      <c r="L68" s="18">
        <f t="shared" ref="L68" si="8">IF(OR(I68="",J68="",K68="",G68=""),"",ROUND(G68*0.2+I68*0.3+J68*0.3+K68*0.2,2))</f>
        <v>2.9</v>
      </c>
      <c r="M68" s="18" t="str">
        <f t="shared" ref="M68" si="9">IF(OR(H68="",L68=""),"",IF(AND(H68&gt;=4,L68&gt;=3.5),"High Impact + High Risk",IF(AND(H68&gt;=4,L68&lt;3.5),"High Impact + Low Risk",IF(AND(H68&lt;4,L68&gt;=3.5),"Low Impact + High Risk","Low Impact + Low Risk"))))</f>
        <v>High Impact + Low Risk</v>
      </c>
      <c r="N68" s="15" t="s">
        <v>96</v>
      </c>
      <c r="O68" s="15" t="s">
        <v>62</v>
      </c>
      <c r="P68" s="15" t="s">
        <v>283</v>
      </c>
      <c r="Q68" s="15"/>
      <c r="R68" s="8" t="s">
        <v>93</v>
      </c>
    </row>
    <row r="69" spans="1:18" s="14" customFormat="1" ht="21.75" customHeight="1" x14ac:dyDescent="0.35">
      <c r="A69" s="7">
        <v>264090</v>
      </c>
      <c r="B69" s="9" t="s">
        <v>289</v>
      </c>
      <c r="C69" s="9" t="s">
        <v>290</v>
      </c>
      <c r="D69" s="9" t="s">
        <v>90</v>
      </c>
      <c r="E69" s="16">
        <v>31762</v>
      </c>
      <c r="F69" s="17">
        <f t="shared" ref="F69" ca="1" si="10">DATEDIF(E69,TODAY(),"Y")</f>
        <v>39</v>
      </c>
      <c r="G69" s="17">
        <f t="shared" ref="G69" ca="1" si="11">IF(F69="","",IF(F69&lt;50,1,IF(F69&lt;55,2,IF(F69&lt;58,3,IF(F69&lt;60,4,5)))))</f>
        <v>1</v>
      </c>
      <c r="H69" s="12">
        <v>4</v>
      </c>
      <c r="I69" s="12">
        <v>5</v>
      </c>
      <c r="J69" s="12">
        <v>4</v>
      </c>
      <c r="K69" s="12">
        <v>5</v>
      </c>
      <c r="L69" s="13">
        <v>3.9</v>
      </c>
      <c r="M69" s="13" t="s">
        <v>68</v>
      </c>
      <c r="N69" s="9" t="s">
        <v>140</v>
      </c>
      <c r="O69" s="9" t="s">
        <v>252</v>
      </c>
      <c r="P69" s="9"/>
      <c r="Q69" s="9"/>
      <c r="R69" s="7"/>
    </row>
  </sheetData>
  <autoFilter ref="A2:R69" xr:uid="{00000000-0001-0000-0000-000000000000}">
    <filterColumn colId="13">
      <filters>
        <filter val="ชรัณ แสงจันทร์"/>
        <filter val="ทิฆัมพร จันทร์สอน"/>
        <filter val="ธัญญรัตน์ เจริญผล"/>
        <filter val="ปองพล สิงห์สนั่น"/>
        <filter val="พุฒิพงศ์ สีธิสุข"/>
        <filter val="ภราดร นิเทศพัตรพงศ์"/>
        <filter val="ภาณุพงศ์ ธีระบุตร"/>
        <filter val="วงษ์ศักดิ์ ศรีสวัสดิ์ หรือ_x000a_ภานุวัฒน์ ธนสานสกุลวงศ์"/>
        <filter val="วินัย แสงโชติ"/>
        <filter val="ศรัณย์ กิจเจริญวิศาล"/>
      </filters>
    </filterColumn>
  </autoFilter>
  <mergeCells count="1">
    <mergeCell ref="A1:Q1"/>
  </mergeCells>
  <dataValidations count="3">
    <dataValidation type="list" allowBlank="1" sqref="J3:K48 H3:H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7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Kitipan Natmingcheun - 8551, 7385</cp:lastModifiedBy>
  <cp:revision>0</cp:revision>
  <dcterms:created xsi:type="dcterms:W3CDTF">2026-07-04T08:08:14Z</dcterms:created>
  <dcterms:modified xsi:type="dcterms:W3CDTF">2026-10-30T04:35:58Z</dcterms:modified>
  <dc:language>en-US</dc:language>
</cp:coreProperties>
</file>