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99" documentId="8_{403FDADD-8B2B-43ED-91C4-EFCFAA5913E5}" xr6:coauthVersionLast="47" xr6:coauthVersionMax="47" xr10:uidLastSave="{4DC00677-643A-4F77-835F-AA33945B6F8F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9" i="1" l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<sst xmlns="http://schemas.openxmlformats.org/spreadsheetml/2006/main" count="425" uniqueCount="289">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</sst>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2" t="s">
        <v>18</v>
      </c>
      <c r="C2" s="22"/>
      <c r="D2" s="22"/>
      <c r="E2" s="22"/>
      <c r="F2" s="22"/>
      <c r="G2" s="22"/>
    </row>
    <row r="4" spans="2:7" ht="19.5" customHeight="1" x14ac:dyDescent="0.35">
      <c r="B4" s="23" t="s">
        <v>19</v>
      </c>
      <c r="C4" s="23"/>
      <c r="D4" s="23"/>
      <c r="E4" s="23"/>
      <c r="F4" s="23"/>
      <c r="G4" s="23"/>
    </row>
    <row r="6" spans="2:7" ht="25.5" customHeight="1" x14ac:dyDescent="0.35">
      <c r="B6" s="24" t="s">
        <v>20</v>
      </c>
      <c r="C6" s="24"/>
      <c r="D6" s="24"/>
      <c r="E6" s="24"/>
      <c r="F6" s="24"/>
      <c r="G6" s="24"/>
    </row>
    <row r="7" spans="2:7" ht="19.5" customHeight="1" x14ac:dyDescent="0.35">
      <c r="B7" s="25" t="s">
        <v>21</v>
      </c>
      <c r="C7" s="25"/>
      <c r="D7" s="25"/>
      <c r="E7" s="25"/>
      <c r="F7" s="25"/>
      <c r="G7" s="25"/>
    </row>
    <row r="8" spans="2:7" x14ac:dyDescent="0.35">
      <c r="B8" s="1" t="s">
        <v>22</v>
      </c>
      <c r="C8" s="26" t="s">
        <v>23</v>
      </c>
      <c r="D8" s="26"/>
      <c r="E8" s="26"/>
      <c r="F8" s="26"/>
      <c r="G8" s="26"/>
    </row>
    <row r="9" spans="2:7" x14ac:dyDescent="0.35">
      <c r="B9" s="2">
        <v>1</v>
      </c>
      <c r="C9" s="27" t="s">
        <v>24</v>
      </c>
      <c r="D9" s="27"/>
      <c r="E9" s="27"/>
      <c r="F9" s="27"/>
      <c r="G9" s="27"/>
    </row>
    <row r="10" spans="2:7" x14ac:dyDescent="0.35">
      <c r="B10" s="2">
        <v>2</v>
      </c>
      <c r="C10" s="27" t="s">
        <v>25</v>
      </c>
      <c r="D10" s="27"/>
      <c r="E10" s="27"/>
      <c r="F10" s="27"/>
      <c r="G10" s="27"/>
    </row>
    <row r="11" spans="2:7" x14ac:dyDescent="0.35">
      <c r="B11" s="2">
        <v>3</v>
      </c>
      <c r="C11" s="27" t="s">
        <v>26</v>
      </c>
      <c r="D11" s="27"/>
      <c r="E11" s="27"/>
      <c r="F11" s="27"/>
      <c r="G11" s="27"/>
    </row>
    <row r="12" spans="2:7" x14ac:dyDescent="0.35">
      <c r="B12" s="2">
        <v>4</v>
      </c>
      <c r="C12" s="27" t="s">
        <v>27</v>
      </c>
      <c r="D12" s="27"/>
      <c r="E12" s="27"/>
      <c r="F12" s="27"/>
      <c r="G12" s="27"/>
    </row>
    <row r="13" spans="2:7" x14ac:dyDescent="0.35">
      <c r="B13" s="2">
        <v>5</v>
      </c>
      <c r="C13" s="27" t="s">
        <v>28</v>
      </c>
      <c r="D13" s="27"/>
      <c r="E13" s="27"/>
      <c r="F13" s="27"/>
      <c r="G13" s="27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4" t="s">
        <v>35</v>
      </c>
      <c r="C22" s="24"/>
      <c r="D22" s="24"/>
      <c r="E22" s="24"/>
      <c r="F22" s="24"/>
      <c r="G22" s="24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31" t="s">
        <v>37</v>
      </c>
      <c r="C25" s="31"/>
      <c r="D25" s="31"/>
      <c r="E25" s="31"/>
      <c r="F25" s="31"/>
      <c r="G25" s="31"/>
    </row>
    <row r="26" spans="2:7" x14ac:dyDescent="0.35">
      <c r="B26" s="29" t="s">
        <v>38</v>
      </c>
      <c r="C26" s="29"/>
      <c r="D26" s="29"/>
      <c r="E26" s="29"/>
      <c r="F26" s="30" t="s">
        <v>39</v>
      </c>
      <c r="G26" s="30"/>
    </row>
    <row r="27" spans="2:7" x14ac:dyDescent="0.35">
      <c r="B27" s="29" t="s">
        <v>40</v>
      </c>
      <c r="C27" s="29"/>
      <c r="D27" s="29"/>
      <c r="E27" s="29"/>
      <c r="F27" s="30" t="s">
        <v>41</v>
      </c>
      <c r="G27" s="30"/>
    </row>
    <row r="28" spans="2:7" x14ac:dyDescent="0.35">
      <c r="B28" s="29" t="s">
        <v>42</v>
      </c>
      <c r="C28" s="29"/>
      <c r="D28" s="29"/>
      <c r="E28" s="29"/>
      <c r="F28" s="30" t="s">
        <v>43</v>
      </c>
      <c r="G28" s="30"/>
    </row>
    <row r="29" spans="2:7" x14ac:dyDescent="0.35">
      <c r="B29" s="29" t="s">
        <v>44</v>
      </c>
      <c r="C29" s="29"/>
      <c r="D29" s="29"/>
      <c r="E29" s="29"/>
      <c r="F29" s="30" t="s">
        <v>45</v>
      </c>
      <c r="G29" s="30"/>
    </row>
    <row r="30" spans="2:7" x14ac:dyDescent="0.35">
      <c r="B30" s="29" t="s">
        <v>46</v>
      </c>
      <c r="C30" s="29"/>
      <c r="D30" s="29"/>
      <c r="E30" s="29"/>
      <c r="F30" s="30" t="s">
        <v>47</v>
      </c>
      <c r="G30" s="30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7" t="s">
        <v>49</v>
      </c>
      <c r="D33" s="27"/>
      <c r="E33" s="27"/>
      <c r="F33" s="27"/>
      <c r="G33" s="27"/>
    </row>
    <row r="34" spans="2:7" x14ac:dyDescent="0.35">
      <c r="B34" s="2">
        <v>3</v>
      </c>
      <c r="C34" s="27" t="s">
        <v>50</v>
      </c>
      <c r="D34" s="27"/>
      <c r="E34" s="27"/>
      <c r="F34" s="27"/>
      <c r="G34" s="27"/>
    </row>
    <row r="35" spans="2:7" x14ac:dyDescent="0.35">
      <c r="B35" s="2">
        <v>5</v>
      </c>
      <c r="C35" s="27" t="s">
        <v>51</v>
      </c>
      <c r="D35" s="27"/>
      <c r="E35" s="27"/>
      <c r="F35" s="27"/>
      <c r="G35" s="27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7" t="s">
        <v>53</v>
      </c>
      <c r="D38" s="27"/>
      <c r="E38" s="27"/>
      <c r="F38" s="27"/>
      <c r="G38" s="27"/>
    </row>
    <row r="39" spans="2:7" x14ac:dyDescent="0.35">
      <c r="B39" s="2">
        <v>2</v>
      </c>
      <c r="C39" s="27" t="s">
        <v>54</v>
      </c>
      <c r="D39" s="27"/>
      <c r="E39" s="27"/>
      <c r="F39" s="27"/>
      <c r="G39" s="27"/>
    </row>
    <row r="40" spans="2:7" x14ac:dyDescent="0.35">
      <c r="B40" s="2">
        <v>3</v>
      </c>
      <c r="C40" s="27" t="s">
        <v>55</v>
      </c>
      <c r="D40" s="27"/>
      <c r="E40" s="27"/>
      <c r="F40" s="27"/>
      <c r="G40" s="27"/>
    </row>
    <row r="41" spans="2:7" x14ac:dyDescent="0.35">
      <c r="B41" s="2">
        <v>4</v>
      </c>
      <c r="C41" s="27" t="s">
        <v>56</v>
      </c>
      <c r="D41" s="27"/>
      <c r="E41" s="27"/>
      <c r="F41" s="27"/>
      <c r="G41" s="27"/>
    </row>
    <row r="42" spans="2:7" x14ac:dyDescent="0.35">
      <c r="B42" s="2">
        <v>5</v>
      </c>
      <c r="C42" s="27" t="s">
        <v>57</v>
      </c>
      <c r="D42" s="27"/>
      <c r="E42" s="27"/>
      <c r="F42" s="27"/>
      <c r="G42" s="27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7" t="s">
        <v>59</v>
      </c>
      <c r="D45" s="27"/>
      <c r="E45" s="27"/>
      <c r="F45" s="27"/>
      <c r="G45" s="27"/>
    </row>
    <row r="46" spans="2:7" x14ac:dyDescent="0.35">
      <c r="B46" s="2">
        <v>2</v>
      </c>
      <c r="C46" s="27" t="s">
        <v>60</v>
      </c>
      <c r="D46" s="27"/>
      <c r="E46" s="27"/>
      <c r="F46" s="27"/>
      <c r="G46" s="27"/>
    </row>
    <row r="47" spans="2:7" x14ac:dyDescent="0.35">
      <c r="B47" s="2">
        <v>3</v>
      </c>
      <c r="C47" s="27" t="s">
        <v>61</v>
      </c>
      <c r="D47" s="27"/>
      <c r="E47" s="27"/>
      <c r="F47" s="27"/>
      <c r="G47" s="27"/>
    </row>
    <row r="48" spans="2:7" x14ac:dyDescent="0.35">
      <c r="B48" s="2">
        <v>4</v>
      </c>
      <c r="C48" s="27" t="s">
        <v>62</v>
      </c>
      <c r="D48" s="27"/>
      <c r="E48" s="27"/>
      <c r="F48" s="27"/>
      <c r="G48" s="27"/>
    </row>
    <row r="49" spans="2:7" x14ac:dyDescent="0.35">
      <c r="B49" s="2">
        <v>5</v>
      </c>
      <c r="C49" s="27" t="s">
        <v>63</v>
      </c>
      <c r="D49" s="27"/>
      <c r="E49" s="27"/>
      <c r="F49" s="27"/>
      <c r="G49" s="27"/>
    </row>
    <row r="51" spans="2:7" ht="25.5" customHeight="1" x14ac:dyDescent="0.35">
      <c r="B51" s="24" t="s">
        <v>64</v>
      </c>
      <c r="C51" s="24"/>
      <c r="D51" s="24"/>
      <c r="E51" s="24"/>
      <c r="F51" s="24"/>
      <c r="G51" s="24"/>
    </row>
    <row r="52" spans="2:7" ht="19.5" customHeight="1" x14ac:dyDescent="0.35">
      <c r="B52" s="31" t="s">
        <v>65</v>
      </c>
      <c r="C52" s="31"/>
      <c r="D52" s="31"/>
      <c r="E52" s="31"/>
      <c r="F52" s="31"/>
      <c r="G52" s="31"/>
    </row>
    <row r="53" spans="2:7" ht="19.5" customHeight="1" x14ac:dyDescent="0.35">
      <c r="B53" s="32" t="s">
        <v>66</v>
      </c>
      <c r="C53" s="32"/>
      <c r="D53" s="32"/>
      <c r="E53" s="32"/>
      <c r="F53" s="32"/>
      <c r="G53" s="32"/>
    </row>
    <row r="55" spans="2:7" ht="25.5" customHeight="1" x14ac:dyDescent="0.35">
      <c r="B55" s="24" t="s">
        <v>67</v>
      </c>
      <c r="C55" s="24"/>
      <c r="D55" s="24"/>
      <c r="E55" s="24"/>
      <c r="F55" s="24"/>
      <c r="G55" s="24"/>
    </row>
    <row r="56" spans="2:7" x14ac:dyDescent="0.35">
      <c r="B56" s="33" t="s">
        <v>68</v>
      </c>
      <c r="C56" s="33"/>
      <c r="D56" s="33"/>
      <c r="E56" s="27" t="s">
        <v>69</v>
      </c>
      <c r="F56" s="27"/>
      <c r="G56" s="27"/>
    </row>
    <row r="57" spans="2:7" x14ac:dyDescent="0.35">
      <c r="B57" s="34" t="s">
        <v>70</v>
      </c>
      <c r="C57" s="34"/>
      <c r="D57" s="34"/>
      <c r="E57" s="27" t="s">
        <v>71</v>
      </c>
      <c r="F57" s="27"/>
      <c r="G57" s="27"/>
    </row>
    <row r="58" spans="2:7" x14ac:dyDescent="0.35">
      <c r="B58" s="35" t="s">
        <v>72</v>
      </c>
      <c r="C58" s="35"/>
      <c r="D58" s="35"/>
      <c r="E58" s="27" t="s">
        <v>73</v>
      </c>
      <c r="F58" s="27"/>
      <c r="G58" s="27"/>
    </row>
    <row r="59" spans="2:7" x14ac:dyDescent="0.35">
      <c r="B59" s="36" t="s">
        <v>74</v>
      </c>
      <c r="C59" s="36"/>
      <c r="D59" s="36"/>
      <c r="E59" s="27" t="s">
        <v>75</v>
      </c>
      <c r="F59" s="27"/>
      <c r="G59" s="27"/>
    </row>
    <row r="62" spans="2:7" ht="25.5" customHeight="1" x14ac:dyDescent="0.35">
      <c r="B62" s="24" t="s">
        <v>76</v>
      </c>
      <c r="C62" s="24"/>
      <c r="D62" s="24"/>
      <c r="E62" s="24"/>
      <c r="F62" s="24"/>
      <c r="G62" s="24"/>
    </row>
    <row r="63" spans="2:7" ht="19.5" customHeight="1" x14ac:dyDescent="0.35">
      <c r="B63" s="25" t="s">
        <v>77</v>
      </c>
      <c r="C63" s="25"/>
      <c r="D63" s="25"/>
      <c r="E63" s="25"/>
      <c r="F63" s="25"/>
      <c r="G63" s="25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4" t="s">
        <v>82</v>
      </c>
      <c r="C69" s="24"/>
      <c r="D69" s="24"/>
      <c r="E69" s="24"/>
      <c r="F69" s="24"/>
      <c r="G69" s="24"/>
    </row>
    <row r="70" spans="2:7" ht="19.5" customHeight="1" x14ac:dyDescent="0.35">
      <c r="B70" s="25" t="s">
        <v>83</v>
      </c>
      <c r="C70" s="25"/>
      <c r="D70" s="25"/>
      <c r="E70" s="25"/>
      <c r="F70" s="25"/>
      <c r="G70" s="25"/>
    </row>
    <row r="71" spans="2:7" ht="19.5" customHeight="1" x14ac:dyDescent="0.35">
      <c r="B71" s="25" t="s">
        <v>84</v>
      </c>
      <c r="C71" s="25"/>
      <c r="D71" s="25"/>
      <c r="E71" s="25"/>
      <c r="F71" s="25"/>
      <c r="G71" s="25"/>
    </row>
    <row r="72" spans="2:7" ht="19.5" customHeight="1" x14ac:dyDescent="0.35">
      <c r="B72" s="25" t="s">
        <v>85</v>
      </c>
      <c r="C72" s="25"/>
      <c r="D72" s="25"/>
      <c r="E72" s="25"/>
      <c r="F72" s="25"/>
      <c r="G72" s="25"/>
    </row>
    <row r="73" spans="2:7" ht="19.5" customHeight="1" x14ac:dyDescent="0.35">
      <c r="B73" s="25" t="s">
        <v>86</v>
      </c>
      <c r="C73" s="25"/>
      <c r="D73" s="25"/>
      <c r="E73" s="25"/>
      <c r="F73" s="25"/>
      <c r="G73" s="25"/>
    </row>
    <row r="74" spans="2:7" ht="19.5" customHeight="1" x14ac:dyDescent="0.35">
      <c r="B74" s="25" t="s">
        <v>87</v>
      </c>
      <c r="C74" s="25"/>
      <c r="D74" s="25"/>
      <c r="E74" s="25"/>
      <c r="F74" s="25"/>
      <c r="G74" s="25"/>
    </row>
    <row r="75" spans="2:7" ht="19.5" customHeight="1" x14ac:dyDescent="0.35">
      <c r="B75" s="25" t="s">
        <v>88</v>
      </c>
      <c r="C75" s="25"/>
      <c r="D75" s="25"/>
      <c r="E75" s="25"/>
      <c r="F75" s="25"/>
      <c r="G75" s="25"/>
    </row>
    <row r="76" spans="2:7" ht="19.5" customHeight="1" x14ac:dyDescent="0.35">
      <c r="B76" s="25"/>
      <c r="C76" s="25"/>
      <c r="D76" s="25"/>
      <c r="E76" s="25"/>
      <c r="F76" s="25"/>
      <c r="G76" s="25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9"/>
  <sheetViews>
    <sheetView showGridLines="0" tabSelected="1" zoomScale="99" zoomScaleNormal="99" workbookViewId="0">
      <pane xSplit="4" ySplit="2" topLeftCell="L35" activePane="bottomRight" state="frozen"/>
      <selection pane="topRight" activeCell="E1" sqref="E1"/>
      <selection pane="bottomLeft" activeCell="A4" sqref="A4"/>
      <selection pane="bottomRight" activeCell="P40" sqref="P40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183</v>
      </c>
      <c r="C13" s="15" t="s">
        <v>184</v>
      </c>
      <c r="D13" s="15" t="s">
        <v>90</v>
      </c>
      <c r="E13" s="16" t="s">
        <v>185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 t="s">
        <v>261</v>
      </c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180</v>
      </c>
      <c r="C14" s="9" t="s">
        <v>181</v>
      </c>
      <c r="D14" s="9" t="s">
        <v>90</v>
      </c>
      <c r="E14" s="10" t="s">
        <v>182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 t="s">
        <v>262</v>
      </c>
      <c r="Q14" s="9"/>
      <c r="S14" s="7" t="s">
        <v>119</v>
      </c>
    </row>
    <row r="15" spans="1:19" s="14" customFormat="1" ht="21.75" customHeight="1" x14ac:dyDescent="0.35">
      <c r="A15" s="7">
        <v>239006</v>
      </c>
      <c r="B15" s="9" t="s">
        <v>125</v>
      </c>
      <c r="C15" s="9" t="s">
        <v>126</v>
      </c>
      <c r="D15" s="9" t="s">
        <v>106</v>
      </c>
      <c r="E15" s="10">
        <v>26179</v>
      </c>
      <c r="F15" s="11">
        <f t="shared" ca="1" si="3"/>
        <v>55</v>
      </c>
      <c r="G15" s="11">
        <f t="shared" ca="1" si="0"/>
        <v>3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3.3</v>
      </c>
      <c r="M15" s="13" t="str">
        <f t="shared" ca="1" si="2"/>
        <v>High Impact + Low Risk</v>
      </c>
      <c r="N15" s="9"/>
      <c r="O15" s="9"/>
      <c r="P15" s="9" t="s">
        <v>263</v>
      </c>
      <c r="Q15" s="9"/>
      <c r="S15" s="7" t="s">
        <v>124</v>
      </c>
    </row>
    <row r="16" spans="1:19" s="14" customFormat="1" ht="21.75" customHeight="1" x14ac:dyDescent="0.35">
      <c r="A16" s="8">
        <v>246004</v>
      </c>
      <c r="B16" s="15" t="s">
        <v>127</v>
      </c>
      <c r="C16" s="15" t="s">
        <v>128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 t="s">
        <v>264</v>
      </c>
      <c r="Q16" s="15"/>
      <c r="S16" s="8" t="s">
        <v>124</v>
      </c>
    </row>
    <row r="17" spans="1:19" s="14" customFormat="1" ht="21.75" customHeight="1" x14ac:dyDescent="0.35">
      <c r="A17" s="7">
        <v>242032</v>
      </c>
      <c r="B17" s="9" t="s">
        <v>129</v>
      </c>
      <c r="C17" s="9" t="s">
        <v>255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124</v>
      </c>
    </row>
    <row r="18" spans="1:19" s="14" customFormat="1" ht="21.75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124</v>
      </c>
    </row>
    <row r="19" spans="1:19" s="14" customFormat="1" ht="21.75" customHeight="1" x14ac:dyDescent="0.35">
      <c r="A19" s="7">
        <v>232027</v>
      </c>
      <c r="B19" s="9" t="s">
        <v>132</v>
      </c>
      <c r="C19" s="9" t="s">
        <v>133</v>
      </c>
      <c r="D19" s="9" t="s">
        <v>106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/>
      <c r="S19" s="7" t="s">
        <v>124</v>
      </c>
    </row>
    <row r="20" spans="1:19" s="14" customFormat="1" ht="21.75" customHeight="1" x14ac:dyDescent="0.35">
      <c r="A20" s="8">
        <v>256029</v>
      </c>
      <c r="B20" s="15" t="s">
        <v>134</v>
      </c>
      <c r="C20" s="15" t="s">
        <v>135</v>
      </c>
      <c r="D20" s="15" t="s">
        <v>102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/>
      <c r="S20" s="8" t="s">
        <v>124</v>
      </c>
    </row>
    <row r="21" spans="1:19" s="14" customFormat="1" ht="21.75" customHeight="1" x14ac:dyDescent="0.35">
      <c r="A21" s="7">
        <v>236012</v>
      </c>
      <c r="B21" s="9" t="s">
        <v>136</v>
      </c>
      <c r="C21" s="9" t="s">
        <v>137</v>
      </c>
      <c r="D21" s="9" t="s">
        <v>102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/>
      <c r="S21" s="7" t="s">
        <v>124</v>
      </c>
    </row>
    <row r="22" spans="1:19" s="14" customFormat="1" ht="21.75" customHeight="1" x14ac:dyDescent="0.35">
      <c r="A22" s="8">
        <v>250042</v>
      </c>
      <c r="B22" s="15" t="s">
        <v>138</v>
      </c>
      <c r="C22" s="15" t="s">
        <v>139</v>
      </c>
      <c r="D22" s="15" t="s">
        <v>102</v>
      </c>
      <c r="E22" s="16">
        <v>26738</v>
      </c>
      <c r="F22" s="17">
        <f t="shared" ca="1" si="3"/>
        <v>53</v>
      </c>
      <c r="G22" s="17">
        <f t="shared" ca="1" si="0"/>
        <v>2</v>
      </c>
      <c r="H22" s="12">
        <v>4</v>
      </c>
      <c r="I22" s="12">
        <v>1</v>
      </c>
      <c r="J22" s="12">
        <v>4</v>
      </c>
      <c r="K22" s="12">
        <v>4</v>
      </c>
      <c r="L22" s="18">
        <f t="shared" ca="1" si="1"/>
        <v>2.7</v>
      </c>
      <c r="M22" s="18" t="str">
        <f t="shared" ca="1" si="2"/>
        <v>High Impact + Low Risk</v>
      </c>
      <c r="N22" s="15"/>
      <c r="O22" s="15"/>
      <c r="P22" s="15" t="s">
        <v>265</v>
      </c>
      <c r="Q22" s="15"/>
      <c r="S22" s="8" t="s">
        <v>124</v>
      </c>
    </row>
    <row r="23" spans="1:19" s="14" customFormat="1" ht="21.75" customHeight="1" x14ac:dyDescent="0.35">
      <c r="A23" s="7">
        <v>233034</v>
      </c>
      <c r="B23" s="9" t="s">
        <v>140</v>
      </c>
      <c r="C23" s="9" t="s">
        <v>141</v>
      </c>
      <c r="D23" s="9" t="s">
        <v>106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S23" s="7" t="s">
        <v>124</v>
      </c>
    </row>
    <row r="24" spans="1:19" s="14" customFormat="1" ht="21.75" customHeight="1" x14ac:dyDescent="0.35">
      <c r="A24" s="8">
        <v>268013</v>
      </c>
      <c r="B24" s="15" t="s">
        <v>142</v>
      </c>
      <c r="C24" s="15" t="s">
        <v>256</v>
      </c>
      <c r="D24" s="15" t="s">
        <v>106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S24" s="8" t="s">
        <v>124</v>
      </c>
    </row>
    <row r="25" spans="1:19" s="14" customFormat="1" ht="21.75" customHeight="1" x14ac:dyDescent="0.35">
      <c r="A25" s="7">
        <v>249010</v>
      </c>
      <c r="B25" s="9" t="s">
        <v>143</v>
      </c>
      <c r="C25" s="9" t="s">
        <v>144</v>
      </c>
      <c r="D25" s="9" t="s">
        <v>106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S25" s="7" t="s">
        <v>124</v>
      </c>
    </row>
    <row r="26" spans="1:19" s="14" customFormat="1" ht="21.75" customHeight="1" x14ac:dyDescent="0.35">
      <c r="A26" s="8">
        <v>268012</v>
      </c>
      <c r="B26" s="15" t="s">
        <v>145</v>
      </c>
      <c r="C26" s="15" t="s">
        <v>146</v>
      </c>
      <c r="D26" s="15" t="s">
        <v>106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S26" s="8" t="s">
        <v>124</v>
      </c>
    </row>
    <row r="27" spans="1:19" s="14" customFormat="1" ht="21.75" customHeight="1" x14ac:dyDescent="0.35">
      <c r="A27" s="7">
        <v>238030</v>
      </c>
      <c r="B27" s="9" t="s">
        <v>147</v>
      </c>
      <c r="C27" s="9" t="s">
        <v>148</v>
      </c>
      <c r="D27" s="9" t="s">
        <v>102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S27" s="7" t="s">
        <v>124</v>
      </c>
    </row>
    <row r="28" spans="1:19" s="14" customFormat="1" ht="21.75" customHeight="1" x14ac:dyDescent="0.35">
      <c r="A28" s="8">
        <v>256014</v>
      </c>
      <c r="B28" s="15" t="s">
        <v>149</v>
      </c>
      <c r="C28" s="15" t="s">
        <v>150</v>
      </c>
      <c r="D28" s="15" t="s">
        <v>106</v>
      </c>
      <c r="E28" s="16">
        <v>32349</v>
      </c>
      <c r="F28" s="17">
        <f t="shared" ca="1" si="3"/>
        <v>38</v>
      </c>
      <c r="G28" s="17">
        <f t="shared" ca="1" si="0"/>
        <v>1</v>
      </c>
      <c r="H28" s="12">
        <v>4</v>
      </c>
      <c r="I28" s="12">
        <v>1</v>
      </c>
      <c r="J28" s="12">
        <v>4</v>
      </c>
      <c r="K28" s="12">
        <v>4</v>
      </c>
      <c r="L28" s="18">
        <f t="shared" ca="1" si="1"/>
        <v>2.5</v>
      </c>
      <c r="M28" s="18" t="str">
        <f t="shared" ca="1" si="2"/>
        <v>High Impact + Low Risk</v>
      </c>
      <c r="N28" s="15"/>
      <c r="O28" s="15"/>
      <c r="P28" s="15" t="s">
        <v>266</v>
      </c>
      <c r="Q28" s="15"/>
      <c r="S28" s="8" t="s">
        <v>124</v>
      </c>
    </row>
    <row r="29" spans="1:19" s="14" customFormat="1" ht="21.75" customHeight="1" x14ac:dyDescent="0.35">
      <c r="A29" s="7">
        <v>443003</v>
      </c>
      <c r="B29" s="9" t="s">
        <v>151</v>
      </c>
      <c r="C29" s="9" t="s">
        <v>152</v>
      </c>
      <c r="D29" s="9" t="s">
        <v>106</v>
      </c>
      <c r="E29" s="10">
        <v>28572</v>
      </c>
      <c r="F29" s="11">
        <f t="shared" ca="1" si="3"/>
        <v>48</v>
      </c>
      <c r="G29" s="11">
        <f t="shared" ca="1" si="0"/>
        <v>1</v>
      </c>
      <c r="H29" s="12">
        <v>4</v>
      </c>
      <c r="I29" s="12">
        <v>1</v>
      </c>
      <c r="J29" s="12">
        <v>4</v>
      </c>
      <c r="K29" s="12">
        <v>5</v>
      </c>
      <c r="L29" s="13">
        <f t="shared" ca="1" si="1"/>
        <v>2.7</v>
      </c>
      <c r="M29" s="13" t="str">
        <f t="shared" ca="1" si="2"/>
        <v>High Impact + Low Risk</v>
      </c>
      <c r="N29" s="9"/>
      <c r="O29" s="9"/>
      <c r="P29" s="9" t="s">
        <v>267</v>
      </c>
      <c r="Q29" s="9"/>
      <c r="S29" s="7" t="s">
        <v>124</v>
      </c>
    </row>
    <row r="30" spans="1:19" s="14" customFormat="1" ht="21.75" customHeight="1" x14ac:dyDescent="0.35">
      <c r="A30" s="8">
        <v>254057</v>
      </c>
      <c r="B30" s="15" t="s">
        <v>153</v>
      </c>
      <c r="C30" s="15" t="s">
        <v>154</v>
      </c>
      <c r="D30" s="15" t="s">
        <v>106</v>
      </c>
      <c r="E30" s="16">
        <v>32420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 t="s">
        <v>268</v>
      </c>
      <c r="Q30" s="15"/>
      <c r="S30" s="8" t="s">
        <v>124</v>
      </c>
    </row>
    <row r="31" spans="1:19" s="14" customFormat="1" ht="21.75" customHeight="1" x14ac:dyDescent="0.35">
      <c r="A31" s="7">
        <v>237011</v>
      </c>
      <c r="B31" s="9" t="s">
        <v>155</v>
      </c>
      <c r="C31" s="9" t="s">
        <v>152</v>
      </c>
      <c r="D31" s="9" t="s">
        <v>106</v>
      </c>
      <c r="E31" s="10">
        <v>25410</v>
      </c>
      <c r="F31" s="11">
        <f t="shared" ca="1" si="3"/>
        <v>57</v>
      </c>
      <c r="G31" s="11">
        <f t="shared" ca="1" si="0"/>
        <v>3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3.1</v>
      </c>
      <c r="M31" s="13" t="str">
        <f t="shared" ca="1" si="2"/>
        <v>High Impact + Low Risk</v>
      </c>
      <c r="N31" s="9"/>
      <c r="O31" s="9"/>
      <c r="P31" s="9" t="s">
        <v>267</v>
      </c>
      <c r="Q31" s="9"/>
      <c r="S31" s="7" t="s">
        <v>124</v>
      </c>
    </row>
    <row r="32" spans="1:19" s="14" customFormat="1" ht="21.75" customHeight="1" x14ac:dyDescent="0.35">
      <c r="A32" s="8">
        <v>267096</v>
      </c>
      <c r="B32" s="15" t="s">
        <v>156</v>
      </c>
      <c r="C32" s="15" t="s">
        <v>157</v>
      </c>
      <c r="D32" s="15" t="s">
        <v>106</v>
      </c>
      <c r="E32" s="16">
        <v>32140</v>
      </c>
      <c r="F32" s="17">
        <f t="shared" ca="1" si="3"/>
        <v>38</v>
      </c>
      <c r="G32" s="17">
        <f t="shared" ca="1" si="0"/>
        <v>1</v>
      </c>
      <c r="H32" s="12">
        <v>4</v>
      </c>
      <c r="I32" s="12">
        <v>3</v>
      </c>
      <c r="J32" s="12">
        <v>4</v>
      </c>
      <c r="K32" s="12">
        <v>4</v>
      </c>
      <c r="L32" s="18">
        <f t="shared" ca="1" si="1"/>
        <v>3.1</v>
      </c>
      <c r="M32" s="18" t="str">
        <f t="shared" ca="1" si="2"/>
        <v>High Impact + Low Risk</v>
      </c>
      <c r="N32" s="15"/>
      <c r="O32" s="15"/>
      <c r="P32" s="15" t="s">
        <v>269</v>
      </c>
      <c r="Q32" s="15"/>
      <c r="S32" s="8" t="s">
        <v>124</v>
      </c>
    </row>
    <row r="33" spans="1:19" s="14" customFormat="1" ht="21.75" customHeight="1" x14ac:dyDescent="0.35">
      <c r="A33" s="7">
        <v>249048</v>
      </c>
      <c r="B33" s="9" t="s">
        <v>158</v>
      </c>
      <c r="C33" s="9" t="s">
        <v>152</v>
      </c>
      <c r="D33" s="9" t="s">
        <v>106</v>
      </c>
      <c r="E33" s="10">
        <v>29299</v>
      </c>
      <c r="F33" s="11">
        <f t="shared" ca="1" si="3"/>
        <v>46</v>
      </c>
      <c r="G33" s="11">
        <f t="shared" ca="1" si="0"/>
        <v>1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2.7</v>
      </c>
      <c r="M33" s="13" t="str">
        <f t="shared" ca="1" si="2"/>
        <v>High Impact + Low Risk</v>
      </c>
      <c r="N33" s="9"/>
      <c r="O33" s="9"/>
      <c r="P33" s="9" t="s">
        <v>267</v>
      </c>
      <c r="Q33" s="9"/>
      <c r="S33" s="7" t="s">
        <v>124</v>
      </c>
    </row>
    <row r="34" spans="1:19" s="14" customFormat="1" ht="21.75" customHeight="1" x14ac:dyDescent="0.35">
      <c r="A34" s="8">
        <v>269022</v>
      </c>
      <c r="B34" s="15" t="s">
        <v>159</v>
      </c>
      <c r="C34" s="15" t="s">
        <v>160</v>
      </c>
      <c r="D34" s="15" t="s">
        <v>106</v>
      </c>
      <c r="E34" s="16">
        <v>30852</v>
      </c>
      <c r="F34" s="17">
        <f t="shared" ca="1" si="3"/>
        <v>42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 t="s">
        <v>270</v>
      </c>
      <c r="Q34" s="15"/>
      <c r="S34" s="8" t="s">
        <v>124</v>
      </c>
    </row>
    <row r="35" spans="1:19" s="14" customFormat="1" ht="21.75" customHeight="1" x14ac:dyDescent="0.35">
      <c r="A35" s="7">
        <v>253014</v>
      </c>
      <c r="B35" s="9" t="s">
        <v>161</v>
      </c>
      <c r="C35" s="9" t="s">
        <v>162</v>
      </c>
      <c r="D35" s="9" t="s">
        <v>102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S35" s="7" t="s">
        <v>124</v>
      </c>
    </row>
    <row r="36" spans="1:19" s="14" customFormat="1" ht="21.75" customHeight="1" x14ac:dyDescent="0.35">
      <c r="A36" s="8">
        <v>248031</v>
      </c>
      <c r="B36" s="15" t="s">
        <v>163</v>
      </c>
      <c r="C36" s="15" t="s">
        <v>164</v>
      </c>
      <c r="D36" s="15" t="s">
        <v>102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S36" s="8" t="s">
        <v>124</v>
      </c>
    </row>
    <row r="37" spans="1:19" s="14" customFormat="1" ht="21.75" customHeight="1" x14ac:dyDescent="0.35">
      <c r="A37" s="7">
        <v>251007</v>
      </c>
      <c r="B37" s="9" t="s">
        <v>165</v>
      </c>
      <c r="C37" s="9" t="s">
        <v>166</v>
      </c>
      <c r="D37" s="9" t="s">
        <v>102</v>
      </c>
      <c r="E37" s="10">
        <v>30522</v>
      </c>
      <c r="F37" s="11">
        <f t="shared" ca="1" si="3"/>
        <v>43</v>
      </c>
      <c r="G37" s="11">
        <f t="shared" ca="1" si="0"/>
        <v>1</v>
      </c>
      <c r="H37" s="12">
        <v>4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High Impact + Low Risk</v>
      </c>
      <c r="N37" s="9"/>
      <c r="O37" s="9"/>
      <c r="P37" s="9" t="s">
        <v>271</v>
      </c>
      <c r="Q37" s="9"/>
      <c r="S37" s="7" t="s">
        <v>124</v>
      </c>
    </row>
    <row r="38" spans="1:19" s="14" customFormat="1" ht="21.75" customHeight="1" x14ac:dyDescent="0.35">
      <c r="A38" s="8">
        <v>242012</v>
      </c>
      <c r="B38" s="15" t="s">
        <v>167</v>
      </c>
      <c r="C38" s="15" t="s">
        <v>168</v>
      </c>
      <c r="D38" s="15" t="s">
        <v>106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124</v>
      </c>
    </row>
    <row r="39" spans="1:19" s="14" customFormat="1" ht="21.75" customHeight="1" x14ac:dyDescent="0.35">
      <c r="A39" s="7">
        <v>257039</v>
      </c>
      <c r="B39" s="9" t="s">
        <v>169</v>
      </c>
      <c r="C39" s="9" t="s">
        <v>170</v>
      </c>
      <c r="D39" s="9" t="s">
        <v>106</v>
      </c>
      <c r="E39" s="10">
        <v>32578</v>
      </c>
      <c r="F39" s="11">
        <f t="shared" ca="1" si="3"/>
        <v>37</v>
      </c>
      <c r="G39" s="11">
        <f t="shared" ca="1" si="0"/>
        <v>1</v>
      </c>
      <c r="H39" s="12">
        <v>4</v>
      </c>
      <c r="I39" s="12">
        <v>3</v>
      </c>
      <c r="J39" s="12">
        <v>4</v>
      </c>
      <c r="K39" s="12">
        <v>4</v>
      </c>
      <c r="L39" s="13">
        <f t="shared" ca="1" si="1"/>
        <v>3.1</v>
      </c>
      <c r="M39" s="13" t="str">
        <f t="shared" ca="1" si="2"/>
        <v>High Impact + Low Risk</v>
      </c>
      <c r="N39" s="9"/>
      <c r="O39" s="9"/>
      <c r="P39" s="9" t="s">
        <v>272</v>
      </c>
      <c r="Q39" s="9"/>
      <c r="S39" s="7" t="s">
        <v>124</v>
      </c>
    </row>
    <row r="40" spans="1:19" s="14" customFormat="1" ht="21.75" customHeight="1" x14ac:dyDescent="0.35">
      <c r="A40" s="8">
        <v>244023</v>
      </c>
      <c r="B40" s="15" t="s">
        <v>171</v>
      </c>
      <c r="C40" s="15" t="s">
        <v>172</v>
      </c>
      <c r="D40" s="15" t="s">
        <v>102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124</v>
      </c>
    </row>
    <row r="41" spans="1:19" s="14" customFormat="1" ht="21.75" customHeight="1" x14ac:dyDescent="0.35">
      <c r="A41" s="7">
        <v>241009</v>
      </c>
      <c r="B41" s="9" t="s">
        <v>173</v>
      </c>
      <c r="C41" s="9" t="s">
        <v>174</v>
      </c>
      <c r="D41" s="9" t="s">
        <v>90</v>
      </c>
      <c r="E41" s="10">
        <v>28315</v>
      </c>
      <c r="F41" s="11">
        <f t="shared" ca="1" si="3"/>
        <v>49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5</v>
      </c>
      <c r="L41" s="13">
        <f t="shared" ca="1" si="1"/>
        <v>3.3</v>
      </c>
      <c r="M41" s="13" t="str">
        <f t="shared" ca="1" si="2"/>
        <v>High Impact + Low Risk</v>
      </c>
      <c r="N41" s="9" t="s">
        <v>258</v>
      </c>
      <c r="O41" s="9" t="s">
        <v>62</v>
      </c>
      <c r="P41" s="9" t="s">
        <v>273</v>
      </c>
      <c r="Q41" s="9"/>
      <c r="S41" s="7" t="s">
        <v>175</v>
      </c>
    </row>
    <row r="42" spans="1:19" s="14" customFormat="1" ht="21.75" customHeight="1" x14ac:dyDescent="0.35">
      <c r="A42" s="8">
        <v>368001</v>
      </c>
      <c r="B42" s="15" t="s">
        <v>176</v>
      </c>
      <c r="C42" s="15" t="s">
        <v>177</v>
      </c>
      <c r="D42" s="15" t="s">
        <v>90</v>
      </c>
      <c r="E42" s="16">
        <v>30299</v>
      </c>
      <c r="F42" s="17">
        <f t="shared" ca="1" si="3"/>
        <v>43</v>
      </c>
      <c r="G42" s="17">
        <f t="shared" ca="1" si="0"/>
        <v>1</v>
      </c>
      <c r="H42" s="12">
        <v>4</v>
      </c>
      <c r="I42" s="12">
        <v>5</v>
      </c>
      <c r="J42" s="12">
        <v>4</v>
      </c>
      <c r="K42" s="12">
        <v>3</v>
      </c>
      <c r="L42" s="18">
        <f t="shared" ca="1" si="1"/>
        <v>3.5</v>
      </c>
      <c r="M42" s="18" t="str">
        <f t="shared" ca="1" si="2"/>
        <v>High Impact + High Risk</v>
      </c>
      <c r="N42" s="15"/>
      <c r="O42" s="15"/>
      <c r="P42" s="15" t="s">
        <v>274</v>
      </c>
      <c r="Q42" s="15"/>
      <c r="S42" s="8" t="s">
        <v>175</v>
      </c>
    </row>
    <row r="43" spans="1:19" s="14" customFormat="1" ht="21.75" customHeight="1" x14ac:dyDescent="0.35">
      <c r="A43" s="7">
        <v>148005</v>
      </c>
      <c r="B43" s="9" t="s">
        <v>178</v>
      </c>
      <c r="C43" s="9" t="s">
        <v>179</v>
      </c>
      <c r="D43" s="9" t="s">
        <v>90</v>
      </c>
      <c r="E43" s="10">
        <v>27329</v>
      </c>
      <c r="F43" s="11">
        <f t="shared" ca="1" si="3"/>
        <v>51</v>
      </c>
      <c r="G43" s="11">
        <f t="shared" ca="1" si="0"/>
        <v>2</v>
      </c>
      <c r="H43" s="12">
        <v>4</v>
      </c>
      <c r="I43" s="12">
        <v>1</v>
      </c>
      <c r="J43" s="12">
        <v>4</v>
      </c>
      <c r="K43" s="12">
        <v>4</v>
      </c>
      <c r="L43" s="13">
        <f t="shared" ca="1" si="1"/>
        <v>2.7</v>
      </c>
      <c r="M43" s="13" t="str">
        <f t="shared" ca="1" si="2"/>
        <v>High Impact + Low Risk</v>
      </c>
      <c r="N43" s="9"/>
      <c r="O43" s="9"/>
      <c r="P43" s="9" t="s">
        <v>275</v>
      </c>
      <c r="Q43" s="9"/>
      <c r="S43" s="7" t="s">
        <v>175</v>
      </c>
    </row>
    <row r="44" spans="1:19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/>
      <c r="O44" s="9"/>
      <c r="P44" s="9" t="s">
        <v>276</v>
      </c>
      <c r="Q44" s="9"/>
      <c r="S44" s="7" t="s">
        <v>93</v>
      </c>
    </row>
    <row r="45" spans="1:19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/>
      <c r="O45" s="15"/>
      <c r="P45" s="15" t="s">
        <v>277</v>
      </c>
      <c r="Q45" s="15"/>
      <c r="S45" s="8" t="s">
        <v>93</v>
      </c>
    </row>
    <row r="46" spans="1:19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/>
      <c r="O46" s="9"/>
      <c r="P46" s="9" t="s">
        <v>278</v>
      </c>
      <c r="Q46" s="9"/>
      <c r="S46" s="7" t="s">
        <v>93</v>
      </c>
    </row>
    <row r="47" spans="1:19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259</v>
      </c>
      <c r="O47" s="15" t="s">
        <v>260</v>
      </c>
      <c r="P47" s="15" t="s">
        <v>279</v>
      </c>
      <c r="Q47" s="15"/>
      <c r="S47" s="8" t="s">
        <v>93</v>
      </c>
    </row>
    <row r="48" spans="1:19" s="14" customFormat="1" ht="21.75" customHeight="1" x14ac:dyDescent="0.35">
      <c r="A48" s="7">
        <v>146037</v>
      </c>
      <c r="B48" s="9" t="s">
        <v>186</v>
      </c>
      <c r="C48" s="9" t="s">
        <v>187</v>
      </c>
      <c r="D48" s="9" t="s">
        <v>90</v>
      </c>
      <c r="E48" s="10" t="s">
        <v>188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8" si="6">IF(OR(I48="",J48="",K48="",G48=""),"",ROUND(G48*0.2+I48*0.3+J48*0.3+K48*0.2,2))</f>
        <v>4.0999999999999996</v>
      </c>
      <c r="M48" s="13" t="str">
        <f t="shared" ref="M48:M68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/>
      <c r="O48" s="9"/>
      <c r="P48" s="9" t="s">
        <v>280</v>
      </c>
      <c r="Q48" s="9"/>
      <c r="S48" s="7" t="s">
        <v>247</v>
      </c>
    </row>
    <row r="49" spans="1:19" s="14" customFormat="1" ht="21.75" customHeight="1" x14ac:dyDescent="0.35">
      <c r="A49" s="8">
        <v>139013</v>
      </c>
      <c r="B49" s="15" t="s">
        <v>189</v>
      </c>
      <c r="C49" s="15" t="s">
        <v>190</v>
      </c>
      <c r="D49" s="15" t="s">
        <v>90</v>
      </c>
      <c r="E49" s="16" t="s">
        <v>191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210</v>
      </c>
      <c r="O49" s="15" t="s">
        <v>257</v>
      </c>
      <c r="P49" s="15" t="s">
        <v>281</v>
      </c>
      <c r="Q49" s="15"/>
      <c r="S49" s="8" t="s">
        <v>247</v>
      </c>
    </row>
    <row r="50" spans="1:19" s="14" customFormat="1" ht="21.75" customHeight="1" x14ac:dyDescent="0.35">
      <c r="A50" s="7">
        <v>145015</v>
      </c>
      <c r="B50" s="9" t="s">
        <v>192</v>
      </c>
      <c r="C50" s="9" t="s">
        <v>193</v>
      </c>
      <c r="D50" s="9" t="s">
        <v>90</v>
      </c>
      <c r="E50" s="10" t="s">
        <v>194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/>
      <c r="O50" s="9"/>
      <c r="P50" s="9" t="s">
        <v>282</v>
      </c>
      <c r="Q50" s="9"/>
      <c r="S50" s="7" t="s">
        <v>247</v>
      </c>
    </row>
    <row r="51" spans="1:19" s="14" customFormat="1" ht="21.75" customHeight="1" x14ac:dyDescent="0.35">
      <c r="A51" s="8">
        <v>161005</v>
      </c>
      <c r="B51" s="15" t="s">
        <v>195</v>
      </c>
      <c r="C51" s="15" t="s">
        <v>196</v>
      </c>
      <c r="D51" s="15" t="s">
        <v>90</v>
      </c>
      <c r="E51" s="16" t="s">
        <v>197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S51" s="8" t="s">
        <v>247</v>
      </c>
    </row>
    <row r="52" spans="1:19" s="14" customFormat="1" ht="21.75" customHeight="1" x14ac:dyDescent="0.35">
      <c r="A52" s="7">
        <v>163003</v>
      </c>
      <c r="B52" s="9" t="s">
        <v>198</v>
      </c>
      <c r="C52" s="9" t="s">
        <v>199</v>
      </c>
      <c r="D52" s="9" t="s">
        <v>90</v>
      </c>
      <c r="E52" s="10" t="s">
        <v>200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S52" s="7" t="s">
        <v>247</v>
      </c>
    </row>
    <row r="53" spans="1:19" s="14" customFormat="1" ht="21.75" customHeight="1" x14ac:dyDescent="0.35">
      <c r="A53" s="8">
        <v>166024</v>
      </c>
      <c r="B53" s="15" t="s">
        <v>201</v>
      </c>
      <c r="C53" s="15" t="s">
        <v>202</v>
      </c>
      <c r="D53" s="15" t="s">
        <v>90</v>
      </c>
      <c r="E53" s="16" t="s">
        <v>203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S53" s="8" t="s">
        <v>247</v>
      </c>
    </row>
    <row r="54" spans="1:19" s="14" customFormat="1" ht="21.75" customHeight="1" x14ac:dyDescent="0.35">
      <c r="A54" s="7">
        <v>167001</v>
      </c>
      <c r="B54" s="9" t="s">
        <v>204</v>
      </c>
      <c r="C54" s="9" t="s">
        <v>205</v>
      </c>
      <c r="D54" s="9" t="s">
        <v>90</v>
      </c>
      <c r="E54" s="10" t="s">
        <v>206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S54" s="7" t="s">
        <v>247</v>
      </c>
    </row>
    <row r="55" spans="1:19" s="14" customFormat="1" ht="21.75" customHeight="1" x14ac:dyDescent="0.35">
      <c r="A55" s="8">
        <v>167012</v>
      </c>
      <c r="B55" s="15" t="s">
        <v>207</v>
      </c>
      <c r="C55" s="15" t="s">
        <v>208</v>
      </c>
      <c r="D55" s="15" t="s">
        <v>90</v>
      </c>
      <c r="E55" s="16" t="s">
        <v>209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S55" s="8" t="s">
        <v>247</v>
      </c>
    </row>
    <row r="56" spans="1:19" s="14" customFormat="1" ht="21.75" customHeight="1" x14ac:dyDescent="0.35">
      <c r="A56" s="7">
        <v>260001</v>
      </c>
      <c r="B56" s="9" t="s">
        <v>210</v>
      </c>
      <c r="C56" s="9" t="s">
        <v>211</v>
      </c>
      <c r="D56" s="9" t="s">
        <v>90</v>
      </c>
      <c r="E56" s="10" t="s">
        <v>212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/>
      <c r="O56" s="9"/>
      <c r="P56" s="9" t="s">
        <v>283</v>
      </c>
      <c r="Q56" s="9"/>
      <c r="S56" s="7" t="s">
        <v>247</v>
      </c>
    </row>
    <row r="57" spans="1:19" s="14" customFormat="1" ht="21.75" customHeight="1" x14ac:dyDescent="0.35">
      <c r="A57" s="8">
        <v>267001</v>
      </c>
      <c r="B57" s="15" t="s">
        <v>213</v>
      </c>
      <c r="C57" s="15" t="s">
        <v>214</v>
      </c>
      <c r="D57" s="15" t="s">
        <v>90</v>
      </c>
      <c r="E57" s="16" t="s">
        <v>215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S57" s="8" t="s">
        <v>247</v>
      </c>
    </row>
    <row r="58" spans="1:19" s="14" customFormat="1" ht="21.75" customHeight="1" x14ac:dyDescent="0.35">
      <c r="A58" s="7">
        <v>160001</v>
      </c>
      <c r="B58" s="9" t="s">
        <v>216</v>
      </c>
      <c r="C58" s="9" t="s">
        <v>217</v>
      </c>
      <c r="D58" s="9" t="s">
        <v>90</v>
      </c>
      <c r="E58" s="10" t="s">
        <v>218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/>
      <c r="O58" s="9"/>
      <c r="P58" s="9" t="s">
        <v>284</v>
      </c>
      <c r="Q58" s="9"/>
      <c r="S58" s="7" t="s">
        <v>247</v>
      </c>
    </row>
    <row r="59" spans="1:19" s="14" customFormat="1" ht="21.75" customHeight="1" x14ac:dyDescent="0.35">
      <c r="A59" s="7">
        <v>167020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S59" s="7" t="s">
        <v>247</v>
      </c>
    </row>
    <row r="60" spans="1:19" s="14" customFormat="1" ht="21.75" customHeight="1" x14ac:dyDescent="0.35">
      <c r="A60" s="8">
        <v>167029</v>
      </c>
      <c r="B60" s="15" t="s">
        <v>222</v>
      </c>
      <c r="C60" s="15" t="s">
        <v>223</v>
      </c>
      <c r="D60" s="15" t="s">
        <v>90</v>
      </c>
      <c r="E60" s="16" t="s">
        <v>224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/>
      <c r="O60" s="15"/>
      <c r="P60" s="15" t="s">
        <v>285</v>
      </c>
      <c r="Q60" s="15"/>
      <c r="S60" s="8" t="s">
        <v>247</v>
      </c>
    </row>
    <row r="61" spans="1:19" s="14" customFormat="1" ht="21.75" customHeight="1" x14ac:dyDescent="0.35">
      <c r="A61" s="7">
        <v>167032</v>
      </c>
      <c r="B61" s="9" t="s">
        <v>225</v>
      </c>
      <c r="C61" s="9" t="s">
        <v>226</v>
      </c>
      <c r="D61" s="9" t="s">
        <v>90</v>
      </c>
      <c r="E61" s="10" t="s">
        <v>227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S61" s="7" t="s">
        <v>247</v>
      </c>
    </row>
    <row r="62" spans="1:19" s="14" customFormat="1" ht="21.75" customHeight="1" x14ac:dyDescent="0.35">
      <c r="A62" s="8">
        <v>168024</v>
      </c>
      <c r="B62" s="15" t="s">
        <v>228</v>
      </c>
      <c r="C62" s="15" t="s">
        <v>229</v>
      </c>
      <c r="D62" s="15" t="s">
        <v>90</v>
      </c>
      <c r="E62" s="16" t="s">
        <v>230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/>
      <c r="O62" s="15"/>
      <c r="P62" s="15" t="s">
        <v>286</v>
      </c>
      <c r="Q62" s="15"/>
      <c r="S62" s="8" t="s">
        <v>247</v>
      </c>
    </row>
    <row r="63" spans="1:19" s="14" customFormat="1" ht="21.75" customHeight="1" x14ac:dyDescent="0.35">
      <c r="A63" s="8">
        <v>337004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S63" s="8" t="s">
        <v>247</v>
      </c>
    </row>
    <row r="64" spans="1:19" s="14" customFormat="1" ht="21.75" customHeight="1" x14ac:dyDescent="0.35">
      <c r="A64" s="8">
        <v>268044</v>
      </c>
      <c r="B64" s="15" t="s">
        <v>235</v>
      </c>
      <c r="C64" s="15" t="s">
        <v>234</v>
      </c>
      <c r="D64" s="15" t="s">
        <v>90</v>
      </c>
      <c r="E64" s="16" t="s">
        <v>236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S64" s="8" t="s">
        <v>247</v>
      </c>
    </row>
    <row r="65" spans="1:19" s="14" customFormat="1" ht="21.75" customHeight="1" x14ac:dyDescent="0.35">
      <c r="A65" s="7">
        <v>368004</v>
      </c>
      <c r="B65" s="9" t="s">
        <v>237</v>
      </c>
      <c r="C65" s="9" t="s">
        <v>238</v>
      </c>
      <c r="D65" s="9" t="s">
        <v>90</v>
      </c>
      <c r="E65" s="10" t="s">
        <v>239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/>
      <c r="O65" s="9"/>
      <c r="P65" s="9"/>
      <c r="Q65" s="9"/>
      <c r="S65" s="7" t="s">
        <v>247</v>
      </c>
    </row>
    <row r="66" spans="1:19" s="14" customFormat="1" ht="21.75" customHeight="1" x14ac:dyDescent="0.35">
      <c r="A66" s="8">
        <v>269040</v>
      </c>
      <c r="B66" s="15" t="s">
        <v>240</v>
      </c>
      <c r="C66" s="15" t="s">
        <v>241</v>
      </c>
      <c r="D66" s="15" t="s">
        <v>90</v>
      </c>
      <c r="E66" s="16" t="s">
        <v>242</v>
      </c>
      <c r="F66" s="17">
        <v>45</v>
      </c>
      <c r="G66" s="17">
        <v>1</v>
      </c>
      <c r="H66" s="12">
        <v>4</v>
      </c>
      <c r="I66" s="12">
        <v>3</v>
      </c>
      <c r="J66" s="12">
        <v>4</v>
      </c>
      <c r="K66" s="12">
        <v>3</v>
      </c>
      <c r="L66" s="18">
        <f t="shared" si="6"/>
        <v>2.9</v>
      </c>
      <c r="M66" s="18" t="str">
        <f t="shared" si="7"/>
        <v>High Impact + Low Risk</v>
      </c>
      <c r="N66" s="15"/>
      <c r="O66" s="15"/>
      <c r="P66" s="15"/>
      <c r="Q66" s="15"/>
      <c r="S66" s="8" t="s">
        <v>247</v>
      </c>
    </row>
    <row r="67" spans="1:19" s="14" customFormat="1" ht="21.75" customHeight="1" x14ac:dyDescent="0.35">
      <c r="A67" s="7" t="s">
        <v>243</v>
      </c>
      <c r="B67" s="9" t="s">
        <v>130</v>
      </c>
      <c r="C67" s="9" t="s">
        <v>244</v>
      </c>
      <c r="D67" s="9" t="s">
        <v>90</v>
      </c>
      <c r="E67" s="10" t="s">
        <v>245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6"/>
        <v>3.8</v>
      </c>
      <c r="M67" s="13" t="str">
        <f t="shared" si="7"/>
        <v>High Impact + High Risk</v>
      </c>
      <c r="N67" s="9"/>
      <c r="O67" s="9"/>
      <c r="P67" s="9"/>
      <c r="Q67" s="9"/>
      <c r="S67" s="7" t="s">
        <v>247</v>
      </c>
    </row>
    <row r="68" spans="1:19" s="14" customFormat="1" ht="21.75" customHeight="1" x14ac:dyDescent="0.35">
      <c r="A68" s="7">
        <v>168016</v>
      </c>
      <c r="B68" s="9" t="s">
        <v>248</v>
      </c>
      <c r="C68" s="9" t="s">
        <v>249</v>
      </c>
      <c r="D68" s="9" t="s">
        <v>90</v>
      </c>
      <c r="E68" s="10" t="s">
        <v>250</v>
      </c>
      <c r="F68" s="11">
        <v>35</v>
      </c>
      <c r="G68" s="11">
        <v>1</v>
      </c>
      <c r="H68" s="12">
        <v>4</v>
      </c>
      <c r="I68" s="12">
        <v>3</v>
      </c>
      <c r="J68" s="12">
        <v>4</v>
      </c>
      <c r="K68" s="12">
        <v>1</v>
      </c>
      <c r="L68" s="13">
        <f t="shared" si="6"/>
        <v>2.5</v>
      </c>
      <c r="M68" s="13" t="str">
        <f t="shared" si="7"/>
        <v>High Impact + Low Risk</v>
      </c>
      <c r="N68" s="9" t="s">
        <v>246</v>
      </c>
      <c r="O68" s="9" t="s">
        <v>246</v>
      </c>
      <c r="P68" s="9" t="s">
        <v>287</v>
      </c>
      <c r="Q68" s="9"/>
      <c r="R68" s="14" t="s">
        <v>246</v>
      </c>
      <c r="S68" s="7" t="s">
        <v>251</v>
      </c>
    </row>
    <row r="69" spans="1:19" s="14" customFormat="1" ht="21.75" customHeight="1" x14ac:dyDescent="0.35">
      <c r="A69" s="8">
        <v>258026</v>
      </c>
      <c r="B69" s="15" t="s">
        <v>252</v>
      </c>
      <c r="C69" s="15" t="s">
        <v>253</v>
      </c>
      <c r="D69" s="15" t="s">
        <v>90</v>
      </c>
      <c r="E69" s="16" t="s">
        <v>254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8">IF(OR(I69="",J69="",K69="",G69=""),"",ROUND(G69*0.2+I69*0.3+J69*0.3+K69*0.2,2))</f>
        <v>2.9</v>
      </c>
      <c r="M69" s="18" t="str">
        <f t="shared" ref="M69" si="9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288</v>
      </c>
      <c r="Q69" s="15"/>
      <c r="R69" s="14" t="s">
        <v>246</v>
      </c>
      <c r="S69" s="8" t="s">
        <v>93</v>
      </c>
    </row>
  </sheetData>
  <autoFilter ref="A2:S69" xr:uid="{00000000-0001-0000-0000-000000000000}"/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2026-10-22T10:00:49Z</dcterms:modified>
  <dc:language>en-US</dc:language>
</cp:coreProperties>
</file>