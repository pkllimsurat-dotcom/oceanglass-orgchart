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ceanglass-my.sharepoint.com/personal/pongkrit_oceanglass_com/Documents/Desktop/Dynamic Org/oceanglass-orgchart/"/>
    </mc:Choice>
  </mc:AlternateContent>
  <xr:revisionPtr revIDLastSave="160" documentId="8_{403FDADD-8B2B-43ED-91C4-EFCFAA5913E5}" xr6:coauthVersionLast="47" xr6:coauthVersionMax="47" xr10:uidLastSave="{7A6435A2-154B-4088-9882-52F253894541}"/>
  <bookViews>
    <workbookView xWindow="-110" yWindow="-110" windowWidth="19420" windowHeight="10300" tabRatio="500" activeTab="1" xr2:uid="{00000000-000D-0000-FFFF-FFFF00000000}"/>
  </bookViews>
  <sheets>
    <sheet name="คำอธิบาย" sheetId="2" r:id="rId1"/>
    <sheet name="กรอกข้อมูล" sheetId="1" r:id="rId2"/>
  </sheets>
  <definedNames>
    <definedName name="_xlnm._FilterDatabase" localSheetId="1" hidden="1">กรอกข้อมูล!$A$2:$R$68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68" i="1" l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14" i="1"/>
  <c r="M14" i="1" s="1"/>
  <c r="F47" i="1"/>
  <c r="G47" i="1" s="1"/>
  <c r="L47" i="1" s="1"/>
  <c r="M47" i="1" s="1"/>
  <c r="F46" i="1"/>
  <c r="G46" i="1" s="1"/>
  <c r="L46" i="1" s="1"/>
  <c r="M46" i="1" s="1"/>
  <c r="F45" i="1"/>
  <c r="G45" i="1" s="1"/>
  <c r="L45" i="1" s="1"/>
  <c r="M45" i="1" s="1"/>
  <c r="F44" i="1"/>
  <c r="G44" i="1" s="1"/>
  <c r="L44" i="1" s="1"/>
  <c r="M44" i="1" s="1"/>
  <c r="F43" i="1"/>
  <c r="G43" i="1" s="1"/>
  <c r="L43" i="1" s="1"/>
  <c r="M43" i="1" s="1"/>
  <c r="F42" i="1"/>
  <c r="G42" i="1" s="1"/>
  <c r="L42" i="1" s="1"/>
  <c r="M42" i="1" s="1"/>
  <c r="F41" i="1"/>
  <c r="G41" i="1" s="1"/>
  <c r="L41" i="1" s="1"/>
  <c r="M41" i="1" s="1"/>
  <c r="F40" i="1"/>
  <c r="G40" i="1" s="1"/>
  <c r="L40" i="1" s="1"/>
  <c r="M40" i="1" s="1"/>
  <c r="F39" i="1"/>
  <c r="G39" i="1" s="1"/>
  <c r="L39" i="1" s="1"/>
  <c r="M39" i="1" s="1"/>
  <c r="F38" i="1"/>
  <c r="G38" i="1" s="1"/>
  <c r="L38" i="1" s="1"/>
  <c r="M38" i="1" s="1"/>
  <c r="F37" i="1"/>
  <c r="G37" i="1" s="1"/>
  <c r="L37" i="1" s="1"/>
  <c r="M37" i="1" s="1"/>
  <c r="F36" i="1"/>
  <c r="G36" i="1" s="1"/>
  <c r="L36" i="1" s="1"/>
  <c r="M36" i="1" s="1"/>
  <c r="F35" i="1"/>
  <c r="G35" i="1" s="1"/>
  <c r="L35" i="1" s="1"/>
  <c r="M35" i="1" s="1"/>
  <c r="F34" i="1"/>
  <c r="G34" i="1" s="1"/>
  <c r="L34" i="1" s="1"/>
  <c r="M34" i="1" s="1"/>
  <c r="F33" i="1"/>
  <c r="G33" i="1" s="1"/>
  <c r="L33" i="1" s="1"/>
  <c r="M33" i="1" s="1"/>
  <c r="F32" i="1"/>
  <c r="G32" i="1" s="1"/>
  <c r="L32" i="1" s="1"/>
  <c r="M32" i="1" s="1"/>
  <c r="F31" i="1"/>
  <c r="G31" i="1" s="1"/>
  <c r="L31" i="1" s="1"/>
  <c r="M31" i="1" s="1"/>
  <c r="F30" i="1"/>
  <c r="G30" i="1" s="1"/>
  <c r="L30" i="1" s="1"/>
  <c r="M30" i="1" s="1"/>
  <c r="F29" i="1"/>
  <c r="G29" i="1" s="1"/>
  <c r="L29" i="1" s="1"/>
  <c r="M29" i="1" s="1"/>
  <c r="F28" i="1"/>
  <c r="G28" i="1" s="1"/>
  <c r="L28" i="1" s="1"/>
  <c r="M28" i="1" s="1"/>
  <c r="F27" i="1"/>
  <c r="G27" i="1" s="1"/>
  <c r="L27" i="1" s="1"/>
  <c r="M27" i="1" s="1"/>
  <c r="F26" i="1"/>
  <c r="G26" i="1" s="1"/>
  <c r="L26" i="1" s="1"/>
  <c r="M26" i="1" s="1"/>
  <c r="F25" i="1"/>
  <c r="G25" i="1" s="1"/>
  <c r="L25" i="1" s="1"/>
  <c r="M25" i="1" s="1"/>
  <c r="F24" i="1"/>
  <c r="G24" i="1" s="1"/>
  <c r="L24" i="1" s="1"/>
  <c r="M24" i="1" s="1"/>
  <c r="F23" i="1"/>
  <c r="G23" i="1" s="1"/>
  <c r="L23" i="1" s="1"/>
  <c r="M23" i="1" s="1"/>
  <c r="F22" i="1"/>
  <c r="G22" i="1" s="1"/>
  <c r="L22" i="1" s="1"/>
  <c r="M22" i="1" s="1"/>
  <c r="F21" i="1"/>
  <c r="G21" i="1" s="1"/>
  <c r="L21" i="1" s="1"/>
  <c r="M21" i="1" s="1"/>
  <c r="F20" i="1"/>
  <c r="G20" i="1" s="1"/>
  <c r="L20" i="1" s="1"/>
  <c r="M20" i="1" s="1"/>
  <c r="F19" i="1"/>
  <c r="G19" i="1" s="1"/>
  <c r="L19" i="1" s="1"/>
  <c r="M19" i="1" s="1"/>
  <c r="F18" i="1"/>
  <c r="G18" i="1" s="1"/>
  <c r="L18" i="1" s="1"/>
  <c r="M18" i="1" s="1"/>
  <c r="F17" i="1"/>
  <c r="G17" i="1" s="1"/>
  <c r="L17" i="1" s="1"/>
  <c r="M17" i="1" s="1"/>
  <c r="F16" i="1"/>
  <c r="G16" i="1" s="1"/>
  <c r="L16" i="1" s="1"/>
  <c r="M16" i="1" s="1"/>
  <c r="F15" i="1"/>
  <c r="G15" i="1" s="1"/>
  <c r="L15" i="1" s="1"/>
  <c r="M15" i="1" s="1"/>
  <c r="L13" i="1"/>
  <c r="M13" i="1" s="1"/>
  <c r="F12" i="1"/>
  <c r="G12" i="1" s="1"/>
  <c r="L12" i="1" s="1"/>
  <c r="M12" i="1" s="1"/>
  <c r="F11" i="1"/>
  <c r="G11" i="1" s="1"/>
  <c r="L11" i="1" s="1"/>
  <c r="M11" i="1" s="1"/>
  <c r="F10" i="1"/>
  <c r="G10" i="1" s="1"/>
  <c r="L10" i="1" s="1"/>
  <c r="M10" i="1" s="1"/>
  <c r="F9" i="1"/>
  <c r="G9" i="1" s="1"/>
  <c r="L9" i="1" s="1"/>
  <c r="M9" i="1" s="1"/>
  <c r="F8" i="1"/>
  <c r="G8" i="1" s="1"/>
  <c r="L8" i="1" s="1"/>
  <c r="M8" i="1" s="1"/>
  <c r="F7" i="1"/>
  <c r="G7" i="1" s="1"/>
  <c r="L7" i="1" s="1"/>
  <c r="M7" i="1" s="1"/>
  <c r="F6" i="1"/>
  <c r="G6" i="1" s="1"/>
  <c r="L6" i="1" s="1"/>
  <c r="M6" i="1" s="1"/>
  <c r="F5" i="1"/>
  <c r="G5" i="1" s="1"/>
  <c r="L5" i="1" s="1"/>
  <c r="M5" i="1" s="1"/>
  <c r="F4" i="1"/>
  <c r="G4" i="1" s="1"/>
  <c r="L4" i="1" s="1"/>
  <c r="M4" i="1" s="1"/>
  <c r="F3" i="1"/>
  <c r="G3" i="1" l="1"/>
  <c r="L3" i="1" l="1"/>
  <c r="M3" i="1" s="1"/>
</calcChain>
</file>

<file path=xl/sharedStrings.xml><?xml version="1.0" encoding="utf-8"?>
<sst xmlns="http://schemas.openxmlformats.org/spreadsheetml/2006/main" count="670" uniqueCount="300">
  <si>
    <t>OCEAN GLASS  |  Succession Planning — Risk Assessment</t>
  </si>
  <si>
    <t>emp_id</t>
  </si>
  <si>
    <t>name_th</t>
  </si>
  <si>
    <t>position</t>
  </si>
  <si>
    <t>key_position_level</t>
  </si>
  <si>
    <t>birth_date</t>
  </si>
  <si>
    <t>age</t>
  </si>
  <si>
    <t>age_score</t>
  </si>
  <si>
    <t>business_impact</t>
  </si>
  <si>
    <t>turnover_risk</t>
  </si>
  <si>
    <t>replacement_difficulty</t>
  </si>
  <si>
    <t>development_time</t>
  </si>
  <si>
    <t>risk_of_vacancy_score</t>
  </si>
  <si>
    <t>quadrant</t>
  </si>
  <si>
    <t>successor_name</t>
  </si>
  <si>
    <t>successor_readiness</t>
  </si>
  <si>
    <t>successor_profile_file</t>
  </si>
  <si>
    <t>notes</t>
  </si>
  <si>
    <t>OCEAN GLASS  |  Succession Planning — คู่มือการกรอกข้อมูล</t>
  </si>
  <si>
    <t>เอกสารนี้อธิบายวิธีกรอกข้อมูลประเมินความเสี่ยงตำแหน่งสำคัญ (Succession Planning) — กรอกข้อมูลใน Sheet 'กรอกข้อมูล' เท่านั้น</t>
  </si>
  <si>
    <t>1. ผลกระทบต่อธุรกิจ (Business Impact) — แกน Y</t>
  </si>
  <si>
    <t>ให้คะแนน 1-5 ตามผลกระทบหากตำแหน่งนี้ว่างลง</t>
  </si>
  <si>
    <t>คะแนน</t>
  </si>
  <si>
    <t>คำอธิบาย</t>
  </si>
  <si>
    <t>ขาดคนแล้วแทบไม่กระทบงาน</t>
  </si>
  <si>
    <t>กระทบบางส่วน แต่จัดการได้ง่าย</t>
  </si>
  <si>
    <t>กระทบต่อประสิทธิภาพทีม</t>
  </si>
  <si>
    <t>กระทบต่อหน่วยงานหรือเป้าหมายสำคัญ</t>
  </si>
  <si>
    <t>กระทบต่อธุรกิจ ลูกค้า รายได้ หรือการดำเนินงานหลักทันที</t>
  </si>
  <si>
    <t>คำถามประกอบการประเมิน (ใช้ช่วยตัดสินคะแนน ไม่ต้องกรอกแยก):</t>
  </si>
  <si>
    <t>• หากตำแหน่งนี้ว่าง จะกระทบลูกค้าหรือรายได้หรือไม่?</t>
  </si>
  <si>
    <t>• มีอำนาจตัดสินใจสำคัญต่อธุรกิจหรือไม่?</t>
  </si>
  <si>
    <t>• มีความรู้เฉพาะที่คนอื่นทดแทนไม่ได้หรือไม่?</t>
  </si>
  <si>
    <t>• เกี่ยวข้องกับกฎหมาย ความปลอดภัย หรือคุณภาพหรือไม่?</t>
  </si>
  <si>
    <t>• หากหยุดทำงาน 1 เดือน จะเกิดความเสียหายมากหรือไม่?</t>
  </si>
  <si>
    <t>2. ผลกระทบหากตำแหน่งนี้ว่าง (Risk of Vacancy) — แกน X</t>
  </si>
  <si>
    <t>คะแนนผสมระหว่างข้อมูลจริง (อายุ — ระบบคำนวณอัตโนมัติ) + ความเห็นหัวหน้างาน 3 หัวข้อ</t>
  </si>
  <si>
    <t>2.1  อายุ — ระบบคำนวณอัตโนมัติจากวันเกิด (ไม่ต้องกรอก)</t>
  </si>
  <si>
    <t>ต่ำกว่า 50 ปี</t>
  </si>
  <si>
    <t>คะแนน 1</t>
  </si>
  <si>
    <t>50-54 ปี</t>
  </si>
  <si>
    <t>คะแนน 2</t>
  </si>
  <si>
    <t>55-57 ปี</t>
  </si>
  <si>
    <t>คะแนน 3</t>
  </si>
  <si>
    <t>58-59 ปี</t>
  </si>
  <si>
    <t>คะแนน 4</t>
  </si>
  <si>
    <t>60 ปีขึ้นไป</t>
  </si>
  <si>
    <t>คะแนน 5</t>
  </si>
  <si>
    <t>2.2  แนวโน้มลาออก (หัวหน้าประเมิน) — กรอกคะแนน 1, 3 หรือ 5</t>
  </si>
  <si>
    <t>มีแนวโน้มอยู่ระยะยาว</t>
  </si>
  <si>
    <t>ไม่แน่ชัด</t>
  </si>
  <si>
    <t>มีโอกาสลาออกสูง หรือเคยแจ้งแผนเกษียณ</t>
  </si>
  <si>
    <t>2.3  ความยากในการหาคนทดแทน — กรอกคะแนน 1-5</t>
  </si>
  <si>
    <t>หาคนได้ภายใน 1 เดือน</t>
  </si>
  <si>
    <t>1-2 เดือน</t>
  </si>
  <si>
    <t>3-4 เดือน</t>
  </si>
  <si>
    <t>5-6 เดือน</t>
  </si>
  <si>
    <t>มากกว่า 6 เดือน หรือแทบไม่มีในตลาด</t>
  </si>
  <si>
    <t>2.4  ระยะเวลาพัฒนาคนใหม่ให้พร้อมทำงาน — กรอกคะแนน 1-5</t>
  </si>
  <si>
    <t>ไม่เกิน 3 เดือน</t>
  </si>
  <si>
    <t>3-6 เดือน</t>
  </si>
  <si>
    <t>6-12 เดือน</t>
  </si>
  <si>
    <t>1-2 ปี</t>
  </si>
  <si>
    <t>มากกว่า 2 ปี</t>
  </si>
  <si>
    <t>3. สูตรคำนวณ (ระบบคำนวณอัตโนมัติ ไม่ต้องกรอก)</t>
  </si>
  <si>
    <t>Risk of Vacancy Score = (อายุ × 20%) + (แนวโน้มลาออก × 30%) + (หาคนทดแทนยาก × 30%) + (ระยะเวลาพัฒนา × 20%)</t>
  </si>
  <si>
    <t>คะแนนสุดท้ายอยู่ในช่วง 1.0 - 5.0</t>
  </si>
  <si>
    <t>4. การแบ่งกลุ่ม Succession Plan (Quadrant)</t>
  </si>
  <si>
    <t>High Impact + High Risk</t>
  </si>
  <si>
    <t>ต้องทำ Succession Plan ทันที</t>
  </si>
  <si>
    <t>High Impact + Low Risk</t>
  </si>
  <si>
    <t>วางแผนระยะยาว</t>
  </si>
  <si>
    <t>Low Impact + High Risk</t>
  </si>
  <si>
    <t>เตรียม Backup Plan</t>
  </si>
  <si>
    <t>Low Impact + Low Risk</t>
  </si>
  <si>
    <t>ติดตามตามปกติ</t>
  </si>
  <si>
    <t>5. Successor Readiness (กรอกเมื่อมีข้อมูล ไม่บังคับ)</t>
  </si>
  <si>
    <t>สำหรับตำแหน่งที่มีความเสี่ยงสูง ระบุสถานะผู้สืบทอด:</t>
  </si>
  <si>
    <t>• Ready Now (พร้อมทันที)</t>
  </si>
  <si>
    <t>• Ready in 1 Year (พร้อมใน 1 ปี)</t>
  </si>
  <si>
    <t>• Ready in 3 Years (พร้อมใน 3 ปี)</t>
  </si>
  <si>
    <t>• No Successor (ยังไม่มีผู้สืบทอด)</t>
  </si>
  <si>
    <t>6. วิธีกรอกข้อมูล</t>
  </si>
  <si>
    <t>1. ไปที่ Sheet 'กรอกข้อมูล'</t>
  </si>
  <si>
    <t>2. คอลัมน์สีฟ้า (อายุ, Age Score) ระบบคำนวณให้แล้ว ไม่ต้องแก้</t>
  </si>
  <si>
    <t>3. กรอกคอลัมน์สีเหลือง 4 ช่อง: Business Impact, แนวโน้มลาออก, หาคนทดแทนยาก, ระยะเวลาพัฒนา (เลือกจาก dropdown 1-5)</t>
  </si>
  <si>
    <t>4. คอลัมน์ Risk of Vacancy Score และ Quadrant จะคำนวณให้อัตโนมัติ</t>
  </si>
  <si>
    <t>5. (ไม่บังคับ) กรอก Successor Name และ Readiness Status หากมีข้อมูล</t>
  </si>
  <si>
    <t>6. (ไม่บังคับ) กรอกชื่อไฟล์ Successor Profile ในคอลัมน์ 'successor_profile_file' — ไฟล์ต้อง upload ไปที่ GitHub ในโฟลเดอร์ 'profiles/' ตามชื่อนี้</t>
  </si>
  <si>
    <t>สายงาน</t>
  </si>
  <si>
    <t>Key Position</t>
  </si>
  <si>
    <t>กฤษฎา น้อมสูงเนิน</t>
  </si>
  <si>
    <t>Section Manager - Inspection and Packing</t>
  </si>
  <si>
    <t>QMT</t>
  </si>
  <si>
    <t>ปวริศ ด่านภู่วงศ์</t>
  </si>
  <si>
    <t>Engineer - Inspection &amp; Packing</t>
  </si>
  <si>
    <t>วินัย แสงโชติ</t>
  </si>
  <si>
    <t>Support Manager - Laboratory &amp; Quality System</t>
  </si>
  <si>
    <t>เจษฎา อิ่มไสว</t>
  </si>
  <si>
    <t>Section Manager - Quality Control</t>
  </si>
  <si>
    <t>สมเด็จ อัศวถาวร</t>
  </si>
  <si>
    <t>Section Manager - Asia Pacific</t>
  </si>
  <si>
    <t>CCD</t>
  </si>
  <si>
    <t>กนกวรรณ นาสูงชน</t>
  </si>
  <si>
    <t>Section Manager - Atlantic Ocean</t>
  </si>
  <si>
    <t>จุฑามาส ศรีโมรา</t>
  </si>
  <si>
    <t>Section Manager - Trade Marketing and CCD Operations</t>
  </si>
  <si>
    <t>ธนพนธ์ สุวรานนท์</t>
  </si>
  <si>
    <t>Director - Thailand &amp; ASEAN</t>
  </si>
  <si>
    <t>ชนม์นิภา พันธุ์ศศินาถ</t>
  </si>
  <si>
    <t>Section Manager - SIMVP</t>
  </si>
  <si>
    <t>Tarun Khattar</t>
  </si>
  <si>
    <t>Customer &amp; Channel Development Director - South Asia and Middle East</t>
  </si>
  <si>
    <t>Linqing Cai</t>
  </si>
  <si>
    <t>Senior Business Development Manager-China</t>
  </si>
  <si>
    <t>กรัณย์ ริยะการ</t>
  </si>
  <si>
    <t>Manager - Risk and Compliance</t>
  </si>
  <si>
    <t>CHR</t>
  </si>
  <si>
    <t>พงศ์กฤษณ์ ลิ้มสุรัตน์</t>
  </si>
  <si>
    <t>Department Manager - Compensation &amp; Benefits and HR Business Partner</t>
  </si>
  <si>
    <t>เปรมมิกา ขันธวิทย์</t>
  </si>
  <si>
    <t>Section Manager - Talent Acquisition &amp; Learning Development</t>
  </si>
  <si>
    <t>MFG</t>
  </si>
  <si>
    <t>สมศักดิ์ นาคงาม</t>
  </si>
  <si>
    <t>Department Manager - Engineering</t>
  </si>
  <si>
    <t>ชานนท์ วชิรานุวงศ์</t>
  </si>
  <si>
    <t>Department Manager - Forming</t>
  </si>
  <si>
    <t>สุวิทย์ เทวสิริโชคชัย</t>
  </si>
  <si>
    <t>ภัครวรรณ ปิ่นแก้ว</t>
  </si>
  <si>
    <t>Department Manager - Supply Planning</t>
  </si>
  <si>
    <t>เกรียงไกร อำนวยพล</t>
  </si>
  <si>
    <t>Shift Supervisor</t>
  </si>
  <si>
    <t>อภิวัฒน์ วิทยเขตปภา</t>
  </si>
  <si>
    <t>Management Representative and International Standards &amp; Compliance</t>
  </si>
  <si>
    <t>อารีวัลย์ พานแก้ว</t>
  </si>
  <si>
    <t>Section Manager - SHE</t>
  </si>
  <si>
    <t>บูรณชัย ขำภิบาล</t>
  </si>
  <si>
    <t>Section Manager - Furnace Support &amp; Maintenance</t>
  </si>
  <si>
    <t>โสภณ ฤทธาพรม</t>
  </si>
  <si>
    <t>Section Manager - Electrical Maintenance Engineering</t>
  </si>
  <si>
    <t>ภาณุพงศ์ ธีระบุตร</t>
  </si>
  <si>
    <t>สุนัน ทองสงค์</t>
  </si>
  <si>
    <t>Section Manager - Mechanical Maintenance Engineering</t>
  </si>
  <si>
    <t>ปองพล สิงห์สนั่น</t>
  </si>
  <si>
    <t>Section Manager-BP&amp;FN/Press &amp; Blow/Facility Service</t>
  </si>
  <si>
    <t>สิทธิศักดิ์ ไพโรจน์ปฐมชัย</t>
  </si>
  <si>
    <t>Section Manager - Utility Engineering</t>
  </si>
  <si>
    <t>ณัฐภัทร วิเชียร</t>
  </si>
  <si>
    <t>Support Manager - Forming 1 Press &amp; Blow Process</t>
  </si>
  <si>
    <t>เอนก สุตะวงค์</t>
  </si>
  <si>
    <t>Supervisor - Forming</t>
  </si>
  <si>
    <t>วงษ์ศักดิ์ ศรีสวัสดิ์</t>
  </si>
  <si>
    <t>Support Manager - Forming 2 Press Process</t>
  </si>
  <si>
    <t>สุพัฒน์ พรมวงค์</t>
  </si>
  <si>
    <t>ภานุวัฒน์ ธนสานสกุลวงศ์</t>
  </si>
  <si>
    <t>Support Manager - Forming3 Stemware &amp; Cold Cut Process</t>
  </si>
  <si>
    <t>ประถม แสงเดือน</t>
  </si>
  <si>
    <t>ภาณุวัฒน์ พูลสวัสดิ์</t>
  </si>
  <si>
    <t>Support Manager - Mold Maintenance &amp; Job Change</t>
  </si>
  <si>
    <t>อภินันท์ หล้าบาง</t>
  </si>
  <si>
    <t>Support Manager - Mold Services</t>
  </si>
  <si>
    <t>กฤษฎา ชินศิริวัฒน์</t>
  </si>
  <si>
    <t>Section Manager - Plant Information &amp; Improvement</t>
  </si>
  <si>
    <t>วีระชัย สารทอง</t>
  </si>
  <si>
    <t>Support Manager - Printing &amp; Decorating</t>
  </si>
  <si>
    <t>พุฒิธร ตรงคณารักษ์</t>
  </si>
  <si>
    <t>Supervisor - Printing &amp; Decorating</t>
  </si>
  <si>
    <t>ทิฆัมพร จันทร์สอน</t>
  </si>
  <si>
    <t>Section Manager - Production Planning</t>
  </si>
  <si>
    <t>สุพจน์ เชื้อหาญ</t>
  </si>
  <si>
    <t>Section Manager - Warehouse &amp; Distribution</t>
  </si>
  <si>
    <t>เวชยันต์ เงินศรีสุข</t>
  </si>
  <si>
    <t>Section Manager - Design &amp; Creative</t>
  </si>
  <si>
    <t>MKT</t>
  </si>
  <si>
    <t>ภูวนารถ เตรียมการ</t>
  </si>
  <si>
    <t>Contract - Senior Product Designer</t>
  </si>
  <si>
    <t>วีรนุช ตรังค์ตระกูล</t>
  </si>
  <si>
    <t>Director - Marketing</t>
  </si>
  <si>
    <t>รักดี ภักดีชุมพล</t>
  </si>
  <si>
    <t>Corporate Secretary &amp; Director of Corporate Affairs</t>
  </si>
  <si>
    <t>23/12/1974</t>
  </si>
  <si>
    <t>รุจิราพร คงสวัสดิ์</t>
  </si>
  <si>
    <t>Manager - Industry Relation</t>
  </si>
  <si>
    <t>06/08/1960</t>
  </si>
  <si>
    <t>ไชยยันต์ กิจมีรัศมีโยธิน</t>
  </si>
  <si>
    <t>Department Manager - Corporate Information Technology</t>
  </si>
  <si>
    <t>18/04/1966</t>
  </si>
  <si>
    <t>พรพิมล รูปสูง</t>
  </si>
  <si>
    <t>Section Manager - IT Application</t>
  </si>
  <si>
    <t>27/04/1968</t>
  </si>
  <si>
    <t>บัณฑิต มุตติศานต์</t>
  </si>
  <si>
    <t>Section Manager - Corporate Information Technology System</t>
  </si>
  <si>
    <t>27/02/1976</t>
  </si>
  <si>
    <t>ณัฐพร เลิศเมือง</t>
  </si>
  <si>
    <t>Senior Officer - IT</t>
  </si>
  <si>
    <t>15/04/1981</t>
  </si>
  <si>
    <t>นริศ ช่างทำ</t>
  </si>
  <si>
    <t>Senior Programmer - IT</t>
  </si>
  <si>
    <t>19/09/1992</t>
  </si>
  <si>
    <t>กฤษชนก พงษ์วิทยากุล</t>
  </si>
  <si>
    <t>Senior Programmer - E-Commerce</t>
  </si>
  <si>
    <t>03/09/1999</t>
  </si>
  <si>
    <t>พสพร จิรบวรพงศา</t>
  </si>
  <si>
    <t>Senior Officer - IT Support</t>
  </si>
  <si>
    <t>22/01/1990</t>
  </si>
  <si>
    <t>พีร์สรัลณ์ รพินต์รางชาง</t>
  </si>
  <si>
    <t>Support Manager - Data Analytic</t>
  </si>
  <si>
    <t>20/04/1995</t>
  </si>
  <si>
    <t>ธัญญรัตน์ เจริญผล</t>
  </si>
  <si>
    <t>Support Manager - IT</t>
  </si>
  <si>
    <t>02/09/1991</t>
  </si>
  <si>
    <t>กิติพันธ์ ณัฏฐ์มิ่งชื่น</t>
  </si>
  <si>
    <t>Technician - IT Support</t>
  </si>
  <si>
    <t>06/10/1995</t>
  </si>
  <si>
    <t>รังษิยา บรมรัตนไพศาล</t>
  </si>
  <si>
    <t>Financial Controller</t>
  </si>
  <si>
    <t>17/06/1980</t>
  </si>
  <si>
    <t>ภัทรานิษฐ์ เกิดสุข</t>
  </si>
  <si>
    <t>Senior Officer - Fixed Assets</t>
  </si>
  <si>
    <t>17/03/1975</t>
  </si>
  <si>
    <t>วรวัชร อบเชย</t>
  </si>
  <si>
    <t>Section Manager - Costing</t>
  </si>
  <si>
    <t>28/01/1991</t>
  </si>
  <si>
    <t>วริศรา ปานพุ่ม</t>
  </si>
  <si>
    <t>Senior Officer - Costing</t>
  </si>
  <si>
    <t>01/01/1998</t>
  </si>
  <si>
    <t>ศจี สนทนา</t>
  </si>
  <si>
    <t>Section Manager-Business Control and Treasury</t>
  </si>
  <si>
    <t>28/11/1980</t>
  </si>
  <si>
    <t>อารีรัตน์ เดชสุขมนัส</t>
  </si>
  <si>
    <t>Supervisor - Accounting Payable</t>
  </si>
  <si>
    <t>24/10/1971</t>
  </si>
  <si>
    <t>Officer - Procurement</t>
  </si>
  <si>
    <t>ชนากานต์ รอดสุพรรณ</t>
  </si>
  <si>
    <t>04/12/1998</t>
  </si>
  <si>
    <t>ปิยะวรรณ  ป้องความดี</t>
  </si>
  <si>
    <t>Contract-Procurement</t>
  </si>
  <si>
    <t>14/06/1967</t>
  </si>
  <si>
    <t>149024 A</t>
  </si>
  <si>
    <t>Acting Procurement Manager</t>
  </si>
  <si>
    <t>17/05/1971</t>
  </si>
  <si>
    <t/>
  </si>
  <si>
    <t>FAIP</t>
  </si>
  <si>
    <t>เวทัส ศฤงฆารสกล</t>
  </si>
  <si>
    <t>Section Manager-Strategic Planning</t>
  </si>
  <si>
    <t>22/05/1991</t>
  </si>
  <si>
    <t>Strategic Planning</t>
  </si>
  <si>
    <t>ธำรงค์ รักถิ่น</t>
  </si>
  <si>
    <t>Department Manager - Quality Management</t>
  </si>
  <si>
    <t>10/12/1984</t>
  </si>
  <si>
    <t>Department Manager - Mold Design &amp; Innovation</t>
  </si>
  <si>
    <t>Section Manager - Batch and Furnace</t>
  </si>
  <si>
    <t>3-5 ปี</t>
  </si>
  <si>
    <t>ศรัณย์ กิจเจริญวิศาล</t>
  </si>
  <si>
    <t>ชรัณ แสงจันทร์</t>
  </si>
  <si>
    <t>พร้อมทันที</t>
  </si>
  <si>
    <t>466004_Manager_IndustrialRelations.docx</t>
  </si>
  <si>
    <t>159029_CorporateSecretary_DirectorCorporateAffairs.docx</t>
  </si>
  <si>
    <t>239006_DeptManager_Engineering.docx</t>
  </si>
  <si>
    <t>246004_DeptManager_Forming.docx</t>
  </si>
  <si>
    <t>250042_SectionManager_FurnaceSupportMaintenance.docx</t>
  </si>
  <si>
    <t>256014_SupportManager_Forming1.docx</t>
  </si>
  <si>
    <t>443003_237011_249048_Supervisor_Forming.docx</t>
  </si>
  <si>
    <t>254057_SupportManager_Forming2.docx</t>
  </si>
  <si>
    <t>267096_SupportManager_Forming3.docx</t>
  </si>
  <si>
    <t>269022_SupportManager_MoldMaintenanceJobChange.docx</t>
  </si>
  <si>
    <t>251007_SupportManager_PrintingDecorating.docx</t>
  </si>
  <si>
    <t>257039_SectionManager_ProductionPlanning.docx</t>
  </si>
  <si>
    <t>241009_SectionManager_DesignCreative.docx</t>
  </si>
  <si>
    <t>368001_SeniorProductDesigner.docx</t>
  </si>
  <si>
    <t>148005_Director_Marketing.docx</t>
  </si>
  <si>
    <t>267071_SectionManager_InspectionPacking.docx</t>
  </si>
  <si>
    <t>268051_Engineer_InspectionPacking.docx</t>
  </si>
  <si>
    <t>269032_SupportManager_LabQualitySystem.docx</t>
  </si>
  <si>
    <t>250051_SectionManager_QualityControl.docx</t>
  </si>
  <si>
    <t>146037_DeptManager_CorporateIT.docx</t>
  </si>
  <si>
    <t>139013_SectionManager_ITApplication.docx</t>
  </si>
  <si>
    <t>145015_SectionManager_CorporateIT.docx</t>
  </si>
  <si>
    <t>260001_SupportManager_IT.docx</t>
  </si>
  <si>
    <t>160001_FinancialController.docx</t>
  </si>
  <si>
    <t>167029_SectionManager_Costing.docx</t>
  </si>
  <si>
    <t>168024_SectionManager_BusinessControlTreasury.docx</t>
  </si>
  <si>
    <t>168016_SectionManager_StrategicPlanning.docx</t>
  </si>
  <si>
    <t>258026_DeptManager_QualityManagement.docx</t>
  </si>
  <si>
    <t>สรรหาจากภายนอก</t>
  </si>
  <si>
    <t>พุฒิพงศ์ สีธิสุข</t>
  </si>
  <si>
    <t xml:space="preserve">รอพี่วุฒิแจ้ง </t>
  </si>
  <si>
    <t>149024 A_Acting Procurement Manager.docx</t>
  </si>
  <si>
    <t>266049_Department Manager Human Resources.docx</t>
  </si>
  <si>
    <t>368004_Contract-Procurement.docx</t>
  </si>
  <si>
    <t>Leadership</t>
  </si>
  <si>
    <t>Change Implementation</t>
  </si>
  <si>
    <t>Initiative &amp; Innovation</t>
  </si>
  <si>
    <t>Quality Orientation</t>
  </si>
  <si>
    <t>Result &amp; Cost Driven</t>
  </si>
  <si>
    <t>Teamwork</t>
  </si>
  <si>
    <t>Communication</t>
  </si>
  <si>
    <t xml:space="preserve">Service Orientation </t>
  </si>
  <si>
    <t>Problem Solving &amp; Decision Making</t>
  </si>
  <si>
    <t>ไม่มีผลประเมิน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</si>
</sst>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.5"/>
      <color rgb="FF1A1A1A"/>
      <name val="Arial"/>
      <family val="2"/>
    </font>
    <font>
      <b/>
      <sz val="12"/>
      <color rgb="FFFFFFFF"/>
      <name val="Arial"/>
      <family val="2"/>
    </font>
    <font>
      <sz val="10"/>
      <color rgb="FF1A1A1A"/>
      <name val="Arial"/>
      <family val="2"/>
    </font>
    <font>
      <b/>
      <sz val="10"/>
      <color rgb="FFFFFFFF"/>
      <name val="Arial"/>
      <family val="2"/>
    </font>
    <font>
      <b/>
      <sz val="10"/>
      <color rgb="FFDA1F26"/>
      <name val="Arial"/>
      <family val="2"/>
    </font>
    <font>
      <sz val="10"/>
      <name val="Arial"/>
      <family val="2"/>
    </font>
    <font>
      <b/>
      <sz val="10"/>
      <color rgb="FF1A1A1A"/>
      <name val="Arial"/>
      <family val="2"/>
    </font>
    <font>
      <sz val="9.5"/>
      <color rgb="FF555555"/>
      <name val="Arial"/>
      <family val="2"/>
    </font>
    <font>
      <b/>
      <sz val="10"/>
      <color rgb="FF0070C0"/>
      <name val="Arial"/>
      <family val="2"/>
    </font>
    <font>
      <sz val="10"/>
      <color rgb="FF555555"/>
      <name val="Arial"/>
      <family val="2"/>
    </font>
    <font>
      <sz val="11"/>
      <name val="Calibri"/>
      <family val="2"/>
      <charset val="1"/>
    </font>
    <font>
      <b/>
      <sz val="9.5"/>
      <color theme="0"/>
      <name val="Arial"/>
      <family val="2"/>
    </font>
    <font>
      <sz val="9.5"/>
      <name val="Arial"/>
      <family val="2"/>
    </font>
    <font>
      <i/>
      <sz val="9.5"/>
      <name val="Arial"/>
      <family val="2"/>
    </font>
    <font>
      <b/>
      <sz val="9.5"/>
      <name val="Arial"/>
      <family val="2"/>
    </font>
    <font>
      <b/>
      <sz val="9"/>
      <color rgb="FF1A1A1A"/>
      <name val="Arial"/>
      <family val="2"/>
    </font>
    <font>
      <sz val="9.5"/>
      <color rgb="FF00B050"/>
      <name val="Arial"/>
      <family val="2"/>
    </font>
    <font>
      <i/>
      <sz val="9.5"/>
      <color rgb="FF00B050"/>
      <name val="Arial"/>
      <family val="2"/>
    </font>
    <font>
      <b/>
      <sz val="9.5"/>
      <color rgb="FF00B050"/>
      <name val="Arial"/>
      <family val="2"/>
    </font>
    <font>
      <sz val="11"/>
      <color rgb="FF00B050"/>
      <name val="Calibri"/>
      <family val="2"/>
      <charset val="1"/>
    </font>
    <font>
      <sz val="9.5"/>
      <color rgb="FFFFC000"/>
      <name val="Arial"/>
      <family val="2"/>
    </font>
    <font>
      <i/>
      <sz val="9.5"/>
      <color rgb="FFFFC000"/>
      <name val="Arial"/>
      <family val="2"/>
    </font>
    <font>
      <b/>
      <sz val="9.5"/>
      <color rgb="FFFFC000"/>
      <name val="Arial"/>
      <family val="2"/>
    </font>
    <font>
      <sz val="11"/>
      <color rgb="FFFFC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DA1F26"/>
        <bgColor rgb="FFC0392B"/>
      </patternFill>
    </fill>
    <fill>
      <patternFill patternType="solid">
        <fgColor rgb="FF1A1A1A"/>
        <bgColor rgb="FF333300"/>
      </patternFill>
    </fill>
    <fill>
      <patternFill patternType="solid">
        <fgColor rgb="FFFFFFFF"/>
        <bgColor rgb="FFF5F5F5"/>
      </patternFill>
    </fill>
    <fill>
      <patternFill patternType="solid">
        <fgColor rgb="FF76777B"/>
        <bgColor rgb="FF969696"/>
      </patternFill>
    </fill>
    <fill>
      <patternFill patternType="solid">
        <fgColor rgb="FFC0392B"/>
        <bgColor rgb="FFDA1F26"/>
      </patternFill>
    </fill>
    <fill>
      <patternFill patternType="solid">
        <fgColor rgb="FFE67E22"/>
        <bgColor rgb="FFFF9900"/>
      </patternFill>
    </fill>
    <fill>
      <patternFill patternType="solid">
        <fgColor rgb="FFF1C40F"/>
        <bgColor rgb="FFFF9900"/>
      </patternFill>
    </fill>
    <fill>
      <patternFill patternType="solid">
        <fgColor rgb="FF27AE60"/>
        <bgColor rgb="FF008080"/>
      </patternFill>
    </fill>
    <fill>
      <patternFill patternType="solid">
        <fgColor rgb="FFFF0000"/>
        <bgColor indexed="64"/>
      </patternFill>
    </fill>
    <fill>
      <patternFill patternType="solid">
        <fgColor rgb="FFFFF3CD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FF3CD"/>
        <bgColor rgb="FFF0F0F0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7" fillId="5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14" fillId="10" borderId="0" xfId="0" applyFont="1" applyFill="1" applyAlignment="1">
      <alignment horizontal="center"/>
    </xf>
    <xf numFmtId="0" fontId="15" fillId="3" borderId="2" xfId="0" applyFont="1" applyFill="1" applyBorder="1" applyAlignment="1">
      <alignment horizontal="center" vertical="center" shrinkToFit="1"/>
    </xf>
    <xf numFmtId="0" fontId="16" fillId="4" borderId="2" xfId="0" applyFont="1" applyFill="1" applyBorder="1" applyAlignment="1">
      <alignment horizontal="center" vertical="center" shrinkToFit="1"/>
    </xf>
    <xf numFmtId="0" fontId="16" fillId="12" borderId="2" xfId="0" applyFont="1" applyFill="1" applyBorder="1" applyAlignment="1">
      <alignment horizontal="center" vertical="center" shrinkToFit="1"/>
    </xf>
    <xf numFmtId="0" fontId="16" fillId="4" borderId="2" xfId="0" applyFont="1" applyFill="1" applyBorder="1" applyAlignment="1">
      <alignment vertical="center" shrinkToFit="1"/>
    </xf>
    <xf numFmtId="14" fontId="16" fillId="4" borderId="2" xfId="0" applyNumberFormat="1" applyFont="1" applyFill="1" applyBorder="1" applyAlignment="1">
      <alignment horizontal="center" vertical="center" shrinkToFit="1"/>
    </xf>
    <xf numFmtId="0" fontId="17" fillId="4" borderId="2" xfId="0" applyFont="1" applyFill="1" applyBorder="1" applyAlignment="1">
      <alignment horizontal="center" vertical="center" shrinkToFit="1"/>
    </xf>
    <xf numFmtId="0" fontId="18" fillId="11" borderId="2" xfId="0" applyFont="1" applyFill="1" applyBorder="1" applyAlignment="1">
      <alignment horizontal="center" vertical="center" shrinkToFit="1"/>
    </xf>
    <xf numFmtId="0" fontId="18" fillId="4" borderId="2" xfId="0" applyFont="1" applyFill="1" applyBorder="1" applyAlignment="1">
      <alignment horizontal="center" vertical="center" shrinkToFit="1"/>
    </xf>
    <xf numFmtId="0" fontId="14" fillId="0" borderId="0" xfId="0" applyFont="1"/>
    <xf numFmtId="0" fontId="16" fillId="12" borderId="2" xfId="0" applyFont="1" applyFill="1" applyBorder="1" applyAlignment="1">
      <alignment vertical="center" shrinkToFit="1"/>
    </xf>
    <xf numFmtId="14" fontId="16" fillId="12" borderId="2" xfId="0" applyNumberFormat="1" applyFont="1" applyFill="1" applyBorder="1" applyAlignment="1">
      <alignment horizontal="center" vertical="center" shrinkToFit="1"/>
    </xf>
    <xf numFmtId="0" fontId="17" fillId="12" borderId="2" xfId="0" applyFont="1" applyFill="1" applyBorder="1" applyAlignment="1">
      <alignment horizontal="center" vertical="center" shrinkToFit="1"/>
    </xf>
    <xf numFmtId="0" fontId="18" fillId="12" borderId="2" xfId="0" applyFont="1" applyFill="1" applyBorder="1" applyAlignment="1">
      <alignment horizontal="center" vertical="center" shrinkToFit="1"/>
    </xf>
    <xf numFmtId="0" fontId="19" fillId="13" borderId="1" xfId="0" applyFont="1" applyFill="1" applyBorder="1" applyAlignment="1">
      <alignment horizontal="center" vertical="center" shrinkToFit="1"/>
    </xf>
    <xf numFmtId="0" fontId="20" fillId="4" borderId="2" xfId="0" applyFont="1" applyFill="1" applyBorder="1" applyAlignment="1">
      <alignment horizontal="center" vertical="center" shrinkToFit="1"/>
    </xf>
    <xf numFmtId="0" fontId="20" fillId="4" borderId="2" xfId="0" applyFont="1" applyFill="1" applyBorder="1" applyAlignment="1">
      <alignment vertical="center" shrinkToFit="1"/>
    </xf>
    <xf numFmtId="14" fontId="20" fillId="4" borderId="2" xfId="0" applyNumberFormat="1" applyFont="1" applyFill="1" applyBorder="1" applyAlignment="1">
      <alignment horizontal="center" vertical="center" shrinkToFit="1"/>
    </xf>
    <xf numFmtId="0" fontId="21" fillId="4" borderId="2" xfId="0" applyFont="1" applyFill="1" applyBorder="1" applyAlignment="1">
      <alignment horizontal="center" vertical="center" shrinkToFit="1"/>
    </xf>
    <xf numFmtId="0" fontId="22" fillId="11" borderId="2" xfId="0" applyFont="1" applyFill="1" applyBorder="1" applyAlignment="1">
      <alignment horizontal="center" vertical="center" shrinkToFit="1"/>
    </xf>
    <xf numFmtId="0" fontId="22" fillId="4" borderId="2" xfId="0" applyFont="1" applyFill="1" applyBorder="1" applyAlignment="1">
      <alignment horizontal="center" vertical="center" shrinkToFit="1"/>
    </xf>
    <xf numFmtId="0" fontId="23" fillId="0" borderId="0" xfId="0" applyFont="1"/>
    <xf numFmtId="0" fontId="20" fillId="12" borderId="2" xfId="0" applyFont="1" applyFill="1" applyBorder="1" applyAlignment="1">
      <alignment horizontal="center" vertical="center" shrinkToFit="1"/>
    </xf>
    <xf numFmtId="0" fontId="20" fillId="12" borderId="2" xfId="0" applyFont="1" applyFill="1" applyBorder="1" applyAlignment="1">
      <alignment vertical="center" shrinkToFit="1"/>
    </xf>
    <xf numFmtId="14" fontId="20" fillId="12" borderId="2" xfId="0" applyNumberFormat="1" applyFont="1" applyFill="1" applyBorder="1" applyAlignment="1">
      <alignment horizontal="center" vertical="center" shrinkToFit="1"/>
    </xf>
    <xf numFmtId="0" fontId="21" fillId="12" borderId="2" xfId="0" applyFont="1" applyFill="1" applyBorder="1" applyAlignment="1">
      <alignment horizontal="center" vertical="center" shrinkToFit="1"/>
    </xf>
    <xf numFmtId="0" fontId="22" fillId="12" borderId="2" xfId="0" applyFont="1" applyFill="1" applyBorder="1" applyAlignment="1">
      <alignment horizontal="center" vertical="center" shrinkToFit="1"/>
    </xf>
    <xf numFmtId="0" fontId="24" fillId="4" borderId="2" xfId="0" applyFont="1" applyFill="1" applyBorder="1" applyAlignment="1">
      <alignment horizontal="center" vertical="center" shrinkToFit="1"/>
    </xf>
    <xf numFmtId="0" fontId="24" fillId="4" borderId="2" xfId="0" applyFont="1" applyFill="1" applyBorder="1" applyAlignment="1">
      <alignment vertical="center" shrinkToFit="1"/>
    </xf>
    <xf numFmtId="14" fontId="24" fillId="4" borderId="2" xfId="0" applyNumberFormat="1" applyFont="1" applyFill="1" applyBorder="1" applyAlignment="1">
      <alignment horizontal="center" vertical="center" shrinkToFit="1"/>
    </xf>
    <xf numFmtId="0" fontId="25" fillId="4" borderId="2" xfId="0" applyFont="1" applyFill="1" applyBorder="1" applyAlignment="1">
      <alignment horizontal="center" vertical="center" shrinkToFit="1"/>
    </xf>
    <xf numFmtId="0" fontId="26" fillId="11" borderId="2" xfId="0" applyFont="1" applyFill="1" applyBorder="1" applyAlignment="1">
      <alignment horizontal="center" vertical="center" shrinkToFit="1"/>
    </xf>
    <xf numFmtId="0" fontId="26" fillId="4" borderId="2" xfId="0" applyFont="1" applyFill="1" applyBorder="1" applyAlignment="1">
      <alignment horizontal="center" vertical="center" shrinkToFit="1"/>
    </xf>
    <xf numFmtId="0" fontId="27" fillId="0" borderId="0" xfId="0" applyFont="1"/>
    <xf numFmtId="0" fontId="24" fillId="12" borderId="2" xfId="0" applyFont="1" applyFill="1" applyBorder="1" applyAlignment="1">
      <alignment horizontal="center" vertical="center" shrinkToFit="1"/>
    </xf>
    <xf numFmtId="0" fontId="24" fillId="12" borderId="2" xfId="0" applyFont="1" applyFill="1" applyBorder="1" applyAlignment="1">
      <alignment vertical="center" shrinkToFit="1"/>
    </xf>
    <xf numFmtId="14" fontId="24" fillId="12" borderId="2" xfId="0" applyNumberFormat="1" applyFont="1" applyFill="1" applyBorder="1" applyAlignment="1">
      <alignment horizontal="center" vertical="center" shrinkToFit="1"/>
    </xf>
    <xf numFmtId="0" fontId="25" fillId="12" borderId="2" xfId="0" applyFont="1" applyFill="1" applyBorder="1" applyAlignment="1">
      <alignment horizontal="center" vertical="center" shrinkToFit="1"/>
    </xf>
    <xf numFmtId="0" fontId="26" fillId="12" borderId="2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left" vertical="center" indent="1"/>
    </xf>
    <xf numFmtId="0" fontId="6" fillId="0" borderId="0" xfId="0" applyFont="1" applyAlignment="1">
      <alignment vertical="center" wrapText="1" indent="1"/>
    </xf>
    <xf numFmtId="0" fontId="11" fillId="0" borderId="0" xfId="0" applyFont="1" applyAlignment="1">
      <alignment vertical="center" wrapText="1" indent="2"/>
    </xf>
    <xf numFmtId="0" fontId="5" fillId="3" borderId="0" xfId="0" applyFont="1" applyFill="1" applyAlignment="1">
      <alignment vertical="center" indent="1"/>
    </xf>
    <xf numFmtId="0" fontId="7" fillId="6" borderId="3" xfId="0" applyFont="1" applyFill="1" applyBorder="1" applyAlignment="1">
      <alignment vertical="center" indent="1"/>
    </xf>
    <xf numFmtId="0" fontId="9" fillId="0" borderId="3" xfId="0" applyFont="1" applyBorder="1" applyAlignment="1">
      <alignment vertical="center" indent="1"/>
    </xf>
    <xf numFmtId="0" fontId="7" fillId="7" borderId="3" xfId="0" applyFont="1" applyFill="1" applyBorder="1" applyAlignment="1">
      <alignment vertical="center" indent="1"/>
    </xf>
    <xf numFmtId="0" fontId="7" fillId="8" borderId="3" xfId="0" applyFont="1" applyFill="1" applyBorder="1" applyAlignment="1">
      <alignment vertical="center" indent="1"/>
    </xf>
    <xf numFmtId="0" fontId="7" fillId="9" borderId="3" xfId="0" applyFont="1" applyFill="1" applyBorder="1" applyAlignment="1">
      <alignment vertical="center" indent="1"/>
    </xf>
    <xf numFmtId="0" fontId="10" fillId="0" borderId="0" xfId="0" applyFont="1" applyAlignment="1">
      <alignment vertical="center" wrapText="1" indent="1"/>
    </xf>
    <xf numFmtId="0" fontId="12" fillId="0" borderId="0" xfId="0" applyFont="1" applyAlignment="1">
      <alignment vertical="center" wrapText="1" indent="1"/>
    </xf>
    <xf numFmtId="0" fontId="13" fillId="0" borderId="0" xfId="0" applyFont="1" applyAlignment="1">
      <alignment vertical="center" wrapText="1" indent="1"/>
    </xf>
    <xf numFmtId="0" fontId="9" fillId="0" borderId="3" xfId="0" applyFont="1" applyBorder="1" applyAlignment="1">
      <alignment vertical="center" indent="2"/>
    </xf>
    <xf numFmtId="0" fontId="8" fillId="0" borderId="3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4" fillId="0" borderId="0" xfId="0" applyFont="1" applyAlignment="1">
      <alignment vertical="center" wrapText="1" indent="1"/>
    </xf>
    <xf numFmtId="0" fontId="7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A1F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77B"/>
      <rgbColor rgb="FF9999FF"/>
      <rgbColor rgb="FF993366"/>
      <rgbColor rgb="FFFFF3CD"/>
      <rgbColor rgb="FFF0F0F0"/>
      <rgbColor rgb="FF660066"/>
      <rgbColor rgb="FFFF8080"/>
      <rgbColor rgb="FF0070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0E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67E22"/>
      <rgbColor rgb="FF555555"/>
      <rgbColor rgb="FF969696"/>
      <rgbColor rgb="FF003366"/>
      <rgbColor rgb="FF27AE60"/>
      <rgbColor rgb="FF003300"/>
      <rgbColor rgb="FF333300"/>
      <rgbColor rgb="FFC039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76"/>
  <sheetViews>
    <sheetView showGridLines="0" showRowColHeaders="0" zoomScaleNormal="100" workbookViewId="0">
      <selection activeCell="H7" sqref="H7"/>
    </sheetView>
  </sheetViews>
  <sheetFormatPr defaultColWidth="8.6328125" defaultRowHeight="14.5" x14ac:dyDescent="0.35"/>
  <cols>
    <col min="1" max="1" width="5.26953125" customWidth="1"/>
    <col min="2" max="2" width="14" customWidth="1"/>
    <col min="3" max="3" width="46" customWidth="1"/>
    <col min="4" max="7" width="14" customWidth="1"/>
  </cols>
  <sheetData>
    <row r="2" spans="2:7" ht="36" customHeight="1" x14ac:dyDescent="0.35">
      <c r="B2" s="58" t="s">
        <v>18</v>
      </c>
      <c r="C2" s="58"/>
      <c r="D2" s="58"/>
      <c r="E2" s="58"/>
      <c r="F2" s="58"/>
      <c r="G2" s="58"/>
    </row>
    <row r="4" spans="2:7" ht="19.5" customHeight="1" x14ac:dyDescent="0.35">
      <c r="B4" s="59" t="s">
        <v>19</v>
      </c>
      <c r="C4" s="59"/>
      <c r="D4" s="59"/>
      <c r="E4" s="59"/>
      <c r="F4" s="59"/>
      <c r="G4" s="59"/>
    </row>
    <row r="6" spans="2:7" ht="25.5" customHeight="1" x14ac:dyDescent="0.35">
      <c r="B6" s="47" t="s">
        <v>20</v>
      </c>
      <c r="C6" s="47"/>
      <c r="D6" s="47"/>
      <c r="E6" s="47"/>
      <c r="F6" s="47"/>
      <c r="G6" s="47"/>
    </row>
    <row r="7" spans="2:7" ht="19.5" customHeight="1" x14ac:dyDescent="0.35">
      <c r="B7" s="45" t="s">
        <v>21</v>
      </c>
      <c r="C7" s="45"/>
      <c r="D7" s="45"/>
      <c r="E7" s="45"/>
      <c r="F7" s="45"/>
      <c r="G7" s="45"/>
    </row>
    <row r="8" spans="2:7" x14ac:dyDescent="0.35">
      <c r="B8" s="1" t="s">
        <v>22</v>
      </c>
      <c r="C8" s="60" t="s">
        <v>23</v>
      </c>
      <c r="D8" s="60"/>
      <c r="E8" s="60"/>
      <c r="F8" s="60"/>
      <c r="G8" s="60"/>
    </row>
    <row r="9" spans="2:7" x14ac:dyDescent="0.35">
      <c r="B9" s="2">
        <v>1</v>
      </c>
      <c r="C9" s="49" t="s">
        <v>24</v>
      </c>
      <c r="D9" s="49"/>
      <c r="E9" s="49"/>
      <c r="F9" s="49"/>
      <c r="G9" s="49"/>
    </row>
    <row r="10" spans="2:7" x14ac:dyDescent="0.35">
      <c r="B10" s="2">
        <v>2</v>
      </c>
      <c r="C10" s="49" t="s">
        <v>25</v>
      </c>
      <c r="D10" s="49"/>
      <c r="E10" s="49"/>
      <c r="F10" s="49"/>
      <c r="G10" s="49"/>
    </row>
    <row r="11" spans="2:7" x14ac:dyDescent="0.35">
      <c r="B11" s="2">
        <v>3</v>
      </c>
      <c r="C11" s="49" t="s">
        <v>26</v>
      </c>
      <c r="D11" s="49"/>
      <c r="E11" s="49"/>
      <c r="F11" s="49"/>
      <c r="G11" s="49"/>
    </row>
    <row r="12" spans="2:7" x14ac:dyDescent="0.35">
      <c r="B12" s="2">
        <v>4</v>
      </c>
      <c r="C12" s="49" t="s">
        <v>27</v>
      </c>
      <c r="D12" s="49"/>
      <c r="E12" s="49"/>
      <c r="F12" s="49"/>
      <c r="G12" s="49"/>
    </row>
    <row r="13" spans="2:7" x14ac:dyDescent="0.35">
      <c r="B13" s="2">
        <v>5</v>
      </c>
      <c r="C13" s="49" t="s">
        <v>28</v>
      </c>
      <c r="D13" s="49"/>
      <c r="E13" s="49"/>
      <c r="F13" s="49"/>
      <c r="G13" s="49"/>
    </row>
    <row r="15" spans="2:7" ht="19.5" customHeight="1" x14ac:dyDescent="0.35">
      <c r="B15" s="53" t="s">
        <v>29</v>
      </c>
      <c r="C15" s="53"/>
      <c r="D15" s="53"/>
      <c r="E15" s="53"/>
      <c r="F15" s="53"/>
      <c r="G15" s="53"/>
    </row>
    <row r="16" spans="2:7" ht="19.5" customHeight="1" x14ac:dyDescent="0.35">
      <c r="B16" s="46" t="s">
        <v>30</v>
      </c>
      <c r="C16" s="46"/>
      <c r="D16" s="46"/>
      <c r="E16" s="46"/>
      <c r="F16" s="46"/>
      <c r="G16" s="46"/>
    </row>
    <row r="17" spans="2:7" ht="19.5" customHeight="1" x14ac:dyDescent="0.35">
      <c r="B17" s="46" t="s">
        <v>31</v>
      </c>
      <c r="C17" s="46"/>
      <c r="D17" s="46"/>
      <c r="E17" s="46"/>
      <c r="F17" s="46"/>
      <c r="G17" s="46"/>
    </row>
    <row r="18" spans="2:7" ht="19.5" customHeight="1" x14ac:dyDescent="0.35">
      <c r="B18" s="46" t="s">
        <v>32</v>
      </c>
      <c r="C18" s="46"/>
      <c r="D18" s="46"/>
      <c r="E18" s="46"/>
      <c r="F18" s="46"/>
      <c r="G18" s="46"/>
    </row>
    <row r="19" spans="2:7" ht="19.5" customHeight="1" x14ac:dyDescent="0.35">
      <c r="B19" s="46" t="s">
        <v>33</v>
      </c>
      <c r="C19" s="46"/>
      <c r="D19" s="46"/>
      <c r="E19" s="46"/>
      <c r="F19" s="46"/>
      <c r="G19" s="46"/>
    </row>
    <row r="20" spans="2:7" ht="19.5" customHeight="1" x14ac:dyDescent="0.35">
      <c r="B20" s="46" t="s">
        <v>34</v>
      </c>
      <c r="C20" s="46"/>
      <c r="D20" s="46"/>
      <c r="E20" s="46"/>
      <c r="F20" s="46"/>
      <c r="G20" s="46"/>
    </row>
    <row r="22" spans="2:7" ht="25.5" customHeight="1" x14ac:dyDescent="0.35">
      <c r="B22" s="47" t="s">
        <v>35</v>
      </c>
      <c r="C22" s="47"/>
      <c r="D22" s="47"/>
      <c r="E22" s="47"/>
      <c r="F22" s="47"/>
      <c r="G22" s="47"/>
    </row>
    <row r="23" spans="2:7" ht="19.5" customHeight="1" x14ac:dyDescent="0.35">
      <c r="B23" s="53" t="s">
        <v>36</v>
      </c>
      <c r="C23" s="53"/>
      <c r="D23" s="53"/>
      <c r="E23" s="53"/>
      <c r="F23" s="53"/>
      <c r="G23" s="53"/>
    </row>
    <row r="25" spans="2:7" ht="19.5" customHeight="1" x14ac:dyDescent="0.35">
      <c r="B25" s="54" t="s">
        <v>37</v>
      </c>
      <c r="C25" s="54"/>
      <c r="D25" s="54"/>
      <c r="E25" s="54"/>
      <c r="F25" s="54"/>
      <c r="G25" s="54"/>
    </row>
    <row r="26" spans="2:7" x14ac:dyDescent="0.35">
      <c r="B26" s="56" t="s">
        <v>38</v>
      </c>
      <c r="C26" s="56"/>
      <c r="D26" s="56"/>
      <c r="E26" s="56"/>
      <c r="F26" s="57" t="s">
        <v>39</v>
      </c>
      <c r="G26" s="57"/>
    </row>
    <row r="27" spans="2:7" x14ac:dyDescent="0.35">
      <c r="B27" s="56" t="s">
        <v>40</v>
      </c>
      <c r="C27" s="56"/>
      <c r="D27" s="56"/>
      <c r="E27" s="56"/>
      <c r="F27" s="57" t="s">
        <v>41</v>
      </c>
      <c r="G27" s="57"/>
    </row>
    <row r="28" spans="2:7" x14ac:dyDescent="0.35">
      <c r="B28" s="56" t="s">
        <v>42</v>
      </c>
      <c r="C28" s="56"/>
      <c r="D28" s="56"/>
      <c r="E28" s="56"/>
      <c r="F28" s="57" t="s">
        <v>43</v>
      </c>
      <c r="G28" s="57"/>
    </row>
    <row r="29" spans="2:7" x14ac:dyDescent="0.35">
      <c r="B29" s="56" t="s">
        <v>44</v>
      </c>
      <c r="C29" s="56"/>
      <c r="D29" s="56"/>
      <c r="E29" s="56"/>
      <c r="F29" s="57" t="s">
        <v>45</v>
      </c>
      <c r="G29" s="57"/>
    </row>
    <row r="30" spans="2:7" x14ac:dyDescent="0.35">
      <c r="B30" s="56" t="s">
        <v>46</v>
      </c>
      <c r="C30" s="56"/>
      <c r="D30" s="56"/>
      <c r="E30" s="56"/>
      <c r="F30" s="57" t="s">
        <v>47</v>
      </c>
      <c r="G30" s="57"/>
    </row>
    <row r="32" spans="2:7" ht="19.5" customHeight="1" x14ac:dyDescent="0.35">
      <c r="B32" s="53" t="s">
        <v>48</v>
      </c>
      <c r="C32" s="53"/>
      <c r="D32" s="53"/>
      <c r="E32" s="53"/>
      <c r="F32" s="53"/>
      <c r="G32" s="53"/>
    </row>
    <row r="33" spans="2:7" x14ac:dyDescent="0.35">
      <c r="B33" s="2">
        <v>1</v>
      </c>
      <c r="C33" s="49" t="s">
        <v>49</v>
      </c>
      <c r="D33" s="49"/>
      <c r="E33" s="49"/>
      <c r="F33" s="49"/>
      <c r="G33" s="49"/>
    </row>
    <row r="34" spans="2:7" x14ac:dyDescent="0.35">
      <c r="B34" s="2">
        <v>3</v>
      </c>
      <c r="C34" s="49" t="s">
        <v>50</v>
      </c>
      <c r="D34" s="49"/>
      <c r="E34" s="49"/>
      <c r="F34" s="49"/>
      <c r="G34" s="49"/>
    </row>
    <row r="35" spans="2:7" x14ac:dyDescent="0.35">
      <c r="B35" s="2">
        <v>5</v>
      </c>
      <c r="C35" s="49" t="s">
        <v>51</v>
      </c>
      <c r="D35" s="49"/>
      <c r="E35" s="49"/>
      <c r="F35" s="49"/>
      <c r="G35" s="49"/>
    </row>
    <row r="37" spans="2:7" ht="19.5" customHeight="1" x14ac:dyDescent="0.35">
      <c r="B37" s="53" t="s">
        <v>52</v>
      </c>
      <c r="C37" s="53"/>
      <c r="D37" s="53"/>
      <c r="E37" s="53"/>
      <c r="F37" s="53"/>
      <c r="G37" s="53"/>
    </row>
    <row r="38" spans="2:7" x14ac:dyDescent="0.35">
      <c r="B38" s="2">
        <v>1</v>
      </c>
      <c r="C38" s="49" t="s">
        <v>53</v>
      </c>
      <c r="D38" s="49"/>
      <c r="E38" s="49"/>
      <c r="F38" s="49"/>
      <c r="G38" s="49"/>
    </row>
    <row r="39" spans="2:7" x14ac:dyDescent="0.35">
      <c r="B39" s="2">
        <v>2</v>
      </c>
      <c r="C39" s="49" t="s">
        <v>54</v>
      </c>
      <c r="D39" s="49"/>
      <c r="E39" s="49"/>
      <c r="F39" s="49"/>
      <c r="G39" s="49"/>
    </row>
    <row r="40" spans="2:7" x14ac:dyDescent="0.35">
      <c r="B40" s="2">
        <v>3</v>
      </c>
      <c r="C40" s="49" t="s">
        <v>55</v>
      </c>
      <c r="D40" s="49"/>
      <c r="E40" s="49"/>
      <c r="F40" s="49"/>
      <c r="G40" s="49"/>
    </row>
    <row r="41" spans="2:7" x14ac:dyDescent="0.35">
      <c r="B41" s="2">
        <v>4</v>
      </c>
      <c r="C41" s="49" t="s">
        <v>56</v>
      </c>
      <c r="D41" s="49"/>
      <c r="E41" s="49"/>
      <c r="F41" s="49"/>
      <c r="G41" s="49"/>
    </row>
    <row r="42" spans="2:7" x14ac:dyDescent="0.35">
      <c r="B42" s="2">
        <v>5</v>
      </c>
      <c r="C42" s="49" t="s">
        <v>57</v>
      </c>
      <c r="D42" s="49"/>
      <c r="E42" s="49"/>
      <c r="F42" s="49"/>
      <c r="G42" s="49"/>
    </row>
    <row r="44" spans="2:7" ht="19.5" customHeight="1" x14ac:dyDescent="0.35">
      <c r="B44" s="53" t="s">
        <v>58</v>
      </c>
      <c r="C44" s="53"/>
      <c r="D44" s="53"/>
      <c r="E44" s="53"/>
      <c r="F44" s="53"/>
      <c r="G44" s="53"/>
    </row>
    <row r="45" spans="2:7" x14ac:dyDescent="0.35">
      <c r="B45" s="2">
        <v>1</v>
      </c>
      <c r="C45" s="49" t="s">
        <v>59</v>
      </c>
      <c r="D45" s="49"/>
      <c r="E45" s="49"/>
      <c r="F45" s="49"/>
      <c r="G45" s="49"/>
    </row>
    <row r="46" spans="2:7" x14ac:dyDescent="0.35">
      <c r="B46" s="2">
        <v>2</v>
      </c>
      <c r="C46" s="49" t="s">
        <v>60</v>
      </c>
      <c r="D46" s="49"/>
      <c r="E46" s="49"/>
      <c r="F46" s="49"/>
      <c r="G46" s="49"/>
    </row>
    <row r="47" spans="2:7" x14ac:dyDescent="0.35">
      <c r="B47" s="2">
        <v>3</v>
      </c>
      <c r="C47" s="49" t="s">
        <v>61</v>
      </c>
      <c r="D47" s="49"/>
      <c r="E47" s="49"/>
      <c r="F47" s="49"/>
      <c r="G47" s="49"/>
    </row>
    <row r="48" spans="2:7" x14ac:dyDescent="0.35">
      <c r="B48" s="2">
        <v>4</v>
      </c>
      <c r="C48" s="49" t="s">
        <v>62</v>
      </c>
      <c r="D48" s="49"/>
      <c r="E48" s="49"/>
      <c r="F48" s="49"/>
      <c r="G48" s="49"/>
    </row>
    <row r="49" spans="2:7" x14ac:dyDescent="0.35">
      <c r="B49" s="2">
        <v>5</v>
      </c>
      <c r="C49" s="49" t="s">
        <v>63</v>
      </c>
      <c r="D49" s="49"/>
      <c r="E49" s="49"/>
      <c r="F49" s="49"/>
      <c r="G49" s="49"/>
    </row>
    <row r="51" spans="2:7" ht="25.5" customHeight="1" x14ac:dyDescent="0.35">
      <c r="B51" s="47" t="s">
        <v>64</v>
      </c>
      <c r="C51" s="47"/>
      <c r="D51" s="47"/>
      <c r="E51" s="47"/>
      <c r="F51" s="47"/>
      <c r="G51" s="47"/>
    </row>
    <row r="52" spans="2:7" ht="19.5" customHeight="1" x14ac:dyDescent="0.35">
      <c r="B52" s="54" t="s">
        <v>65</v>
      </c>
      <c r="C52" s="54"/>
      <c r="D52" s="54"/>
      <c r="E52" s="54"/>
      <c r="F52" s="54"/>
      <c r="G52" s="54"/>
    </row>
    <row r="53" spans="2:7" ht="19.5" customHeight="1" x14ac:dyDescent="0.35">
      <c r="B53" s="55" t="s">
        <v>66</v>
      </c>
      <c r="C53" s="55"/>
      <c r="D53" s="55"/>
      <c r="E53" s="55"/>
      <c r="F53" s="55"/>
      <c r="G53" s="55"/>
    </row>
    <row r="55" spans="2:7" ht="25.5" customHeight="1" x14ac:dyDescent="0.35">
      <c r="B55" s="47" t="s">
        <v>67</v>
      </c>
      <c r="C55" s="47"/>
      <c r="D55" s="47"/>
      <c r="E55" s="47"/>
      <c r="F55" s="47"/>
      <c r="G55" s="47"/>
    </row>
    <row r="56" spans="2:7" x14ac:dyDescent="0.35">
      <c r="B56" s="48" t="s">
        <v>68</v>
      </c>
      <c r="C56" s="48"/>
      <c r="D56" s="48"/>
      <c r="E56" s="49" t="s">
        <v>69</v>
      </c>
      <c r="F56" s="49"/>
      <c r="G56" s="49"/>
    </row>
    <row r="57" spans="2:7" x14ac:dyDescent="0.35">
      <c r="B57" s="50" t="s">
        <v>70</v>
      </c>
      <c r="C57" s="50"/>
      <c r="D57" s="50"/>
      <c r="E57" s="49" t="s">
        <v>71</v>
      </c>
      <c r="F57" s="49"/>
      <c r="G57" s="49"/>
    </row>
    <row r="58" spans="2:7" x14ac:dyDescent="0.35">
      <c r="B58" s="51" t="s">
        <v>72</v>
      </c>
      <c r="C58" s="51"/>
      <c r="D58" s="51"/>
      <c r="E58" s="49" t="s">
        <v>73</v>
      </c>
      <c r="F58" s="49"/>
      <c r="G58" s="49"/>
    </row>
    <row r="59" spans="2:7" x14ac:dyDescent="0.35">
      <c r="B59" s="52" t="s">
        <v>74</v>
      </c>
      <c r="C59" s="52"/>
      <c r="D59" s="52"/>
      <c r="E59" s="49" t="s">
        <v>75</v>
      </c>
      <c r="F59" s="49"/>
      <c r="G59" s="49"/>
    </row>
    <row r="62" spans="2:7" ht="25.5" customHeight="1" x14ac:dyDescent="0.35">
      <c r="B62" s="47" t="s">
        <v>76</v>
      </c>
      <c r="C62" s="47"/>
      <c r="D62" s="47"/>
      <c r="E62" s="47"/>
      <c r="F62" s="47"/>
      <c r="G62" s="47"/>
    </row>
    <row r="63" spans="2:7" ht="19.5" customHeight="1" x14ac:dyDescent="0.35">
      <c r="B63" s="45" t="s">
        <v>77</v>
      </c>
      <c r="C63" s="45"/>
      <c r="D63" s="45"/>
      <c r="E63" s="45"/>
      <c r="F63" s="45"/>
      <c r="G63" s="45"/>
    </row>
    <row r="64" spans="2:7" ht="19.5" customHeight="1" x14ac:dyDescent="0.35">
      <c r="B64" s="46" t="s">
        <v>78</v>
      </c>
      <c r="C64" s="46"/>
      <c r="D64" s="46"/>
      <c r="E64" s="46"/>
      <c r="F64" s="46"/>
      <c r="G64" s="46"/>
    </row>
    <row r="65" spans="2:7" ht="19.5" customHeight="1" x14ac:dyDescent="0.35">
      <c r="B65" s="46" t="s">
        <v>79</v>
      </c>
      <c r="C65" s="46"/>
      <c r="D65" s="46"/>
      <c r="E65" s="46"/>
      <c r="F65" s="46"/>
      <c r="G65" s="46"/>
    </row>
    <row r="66" spans="2:7" ht="19.5" customHeight="1" x14ac:dyDescent="0.35">
      <c r="B66" s="46" t="s">
        <v>80</v>
      </c>
      <c r="C66" s="46"/>
      <c r="D66" s="46"/>
      <c r="E66" s="46"/>
      <c r="F66" s="46"/>
      <c r="G66" s="46"/>
    </row>
    <row r="67" spans="2:7" ht="19.5" customHeight="1" x14ac:dyDescent="0.35">
      <c r="B67" s="46" t="s">
        <v>81</v>
      </c>
      <c r="C67" s="46"/>
      <c r="D67" s="46"/>
      <c r="E67" s="46"/>
      <c r="F67" s="46"/>
      <c r="G67" s="46"/>
    </row>
    <row r="69" spans="2:7" ht="25.5" customHeight="1" x14ac:dyDescent="0.35">
      <c r="B69" s="47" t="s">
        <v>82</v>
      </c>
      <c r="C69" s="47"/>
      <c r="D69" s="47"/>
      <c r="E69" s="47"/>
      <c r="F69" s="47"/>
      <c r="G69" s="47"/>
    </row>
    <row r="70" spans="2:7" ht="19.5" customHeight="1" x14ac:dyDescent="0.35">
      <c r="B70" s="45" t="s">
        <v>83</v>
      </c>
      <c r="C70" s="45"/>
      <c r="D70" s="45"/>
      <c r="E70" s="45"/>
      <c r="F70" s="45"/>
      <c r="G70" s="45"/>
    </row>
    <row r="71" spans="2:7" ht="19.5" customHeight="1" x14ac:dyDescent="0.35">
      <c r="B71" s="45" t="s">
        <v>84</v>
      </c>
      <c r="C71" s="45"/>
      <c r="D71" s="45"/>
      <c r="E71" s="45"/>
      <c r="F71" s="45"/>
      <c r="G71" s="45"/>
    </row>
    <row r="72" spans="2:7" ht="19.5" customHeight="1" x14ac:dyDescent="0.35">
      <c r="B72" s="45" t="s">
        <v>85</v>
      </c>
      <c r="C72" s="45"/>
      <c r="D72" s="45"/>
      <c r="E72" s="45"/>
      <c r="F72" s="45"/>
      <c r="G72" s="45"/>
    </row>
    <row r="73" spans="2:7" ht="19.5" customHeight="1" x14ac:dyDescent="0.35">
      <c r="B73" s="45" t="s">
        <v>86</v>
      </c>
      <c r="C73" s="45"/>
      <c r="D73" s="45"/>
      <c r="E73" s="45"/>
      <c r="F73" s="45"/>
      <c r="G73" s="45"/>
    </row>
    <row r="74" spans="2:7" ht="19.5" customHeight="1" x14ac:dyDescent="0.35">
      <c r="B74" s="45" t="s">
        <v>87</v>
      </c>
      <c r="C74" s="45"/>
      <c r="D74" s="45"/>
      <c r="E74" s="45"/>
      <c r="F74" s="45"/>
      <c r="G74" s="45"/>
    </row>
    <row r="75" spans="2:7" ht="19.5" customHeight="1" x14ac:dyDescent="0.35">
      <c r="B75" s="45" t="s">
        <v>88</v>
      </c>
      <c r="C75" s="45"/>
      <c r="D75" s="45"/>
      <c r="E75" s="45"/>
      <c r="F75" s="45"/>
      <c r="G75" s="45"/>
    </row>
    <row r="76" spans="2:7" ht="19.5" customHeight="1" x14ac:dyDescent="0.35">
      <c r="B76" s="45"/>
      <c r="C76" s="45"/>
      <c r="D76" s="45"/>
      <c r="E76" s="45"/>
      <c r="F76" s="45"/>
      <c r="G76" s="45"/>
    </row>
  </sheetData>
  <mergeCells count="71">
    <mergeCell ref="B16:G16"/>
    <mergeCell ref="B2:G2"/>
    <mergeCell ref="B4:G4"/>
    <mergeCell ref="B6:G6"/>
    <mergeCell ref="B7:G7"/>
    <mergeCell ref="C8:G8"/>
    <mergeCell ref="C9:G9"/>
    <mergeCell ref="C10:G10"/>
    <mergeCell ref="C11:G11"/>
    <mergeCell ref="C12:G12"/>
    <mergeCell ref="C13:G13"/>
    <mergeCell ref="B15:G15"/>
    <mergeCell ref="B28:E28"/>
    <mergeCell ref="F28:G28"/>
    <mergeCell ref="B17:G17"/>
    <mergeCell ref="B18:G18"/>
    <mergeCell ref="B19:G19"/>
    <mergeCell ref="B20:G20"/>
    <mergeCell ref="B22:G22"/>
    <mergeCell ref="B23:G23"/>
    <mergeCell ref="B25:G25"/>
    <mergeCell ref="B26:E26"/>
    <mergeCell ref="F26:G26"/>
    <mergeCell ref="B27:E27"/>
    <mergeCell ref="F27:G27"/>
    <mergeCell ref="C40:G40"/>
    <mergeCell ref="B29:E29"/>
    <mergeCell ref="F29:G29"/>
    <mergeCell ref="B30:E30"/>
    <mergeCell ref="F30:G30"/>
    <mergeCell ref="B32:G32"/>
    <mergeCell ref="C33:G33"/>
    <mergeCell ref="C34:G34"/>
    <mergeCell ref="C35:G35"/>
    <mergeCell ref="B37:G37"/>
    <mergeCell ref="C38:G38"/>
    <mergeCell ref="C39:G39"/>
    <mergeCell ref="B55:G55"/>
    <mergeCell ref="C41:G41"/>
    <mergeCell ref="C42:G42"/>
    <mergeCell ref="B44:G44"/>
    <mergeCell ref="C45:G45"/>
    <mergeCell ref="C46:G46"/>
    <mergeCell ref="C47:G47"/>
    <mergeCell ref="C48:G48"/>
    <mergeCell ref="C49:G49"/>
    <mergeCell ref="B51:G51"/>
    <mergeCell ref="B52:G52"/>
    <mergeCell ref="B53:G53"/>
    <mergeCell ref="B65:G65"/>
    <mergeCell ref="B56:D56"/>
    <mergeCell ref="E56:G56"/>
    <mergeCell ref="B57:D57"/>
    <mergeCell ref="E57:G57"/>
    <mergeCell ref="B58:D58"/>
    <mergeCell ref="E58:G58"/>
    <mergeCell ref="B59:D59"/>
    <mergeCell ref="E59:G59"/>
    <mergeCell ref="B62:G62"/>
    <mergeCell ref="B63:G63"/>
    <mergeCell ref="B64:G64"/>
    <mergeCell ref="B73:G73"/>
    <mergeCell ref="B74:G74"/>
    <mergeCell ref="B75:G75"/>
    <mergeCell ref="B76:G76"/>
    <mergeCell ref="B66:G66"/>
    <mergeCell ref="B67:G67"/>
    <mergeCell ref="B69:G69"/>
    <mergeCell ref="B70:G70"/>
    <mergeCell ref="B71:G71"/>
    <mergeCell ref="B72:G7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showGridLines="0" tabSelected="1" zoomScale="99" zoomScaleNormal="99" workbookViewId="0">
      <pane xSplit="4" ySplit="2" topLeftCell="E3" activePane="bottomRight" state="frozen"/>
      <selection pane="topRight" activeCell="E1" sqref="E1"/>
      <selection pane="bottomLeft" activeCell="A4" sqref="A4"/>
      <selection pane="bottomRight" activeCell="A3" sqref="A3"/>
    </sheetView>
  </sheetViews>
  <sheetFormatPr defaultColWidth="8.6328125" defaultRowHeight="14.5" x14ac:dyDescent="0.35"/>
  <cols>
    <col min="1" max="1" width="11" customWidth="1"/>
    <col min="2" max="2" width="22" customWidth="1"/>
    <col min="3" max="3" width="36" customWidth="1"/>
    <col min="4" max="4" width="16" customWidth="1"/>
    <col min="5" max="5" width="13" customWidth="1"/>
    <col min="6" max="6" width="8" customWidth="1"/>
    <col min="7" max="7" width="10" customWidth="1"/>
    <col min="8" max="8" width="14" customWidth="1"/>
    <col min="9" max="9" width="13" customWidth="1"/>
    <col min="10" max="10" width="18" customWidth="1"/>
    <col min="11" max="11" width="16" customWidth="1"/>
    <col min="12" max="12" width="18" customWidth="1"/>
    <col min="13" max="13" width="24" customWidth="1"/>
    <col min="14" max="14" width="20" customWidth="1"/>
    <col min="15" max="15" width="18" customWidth="1"/>
    <col min="16" max="16" width="26" customWidth="1"/>
    <col min="17" max="17" width="28" customWidth="1"/>
    <col min="18" max="18" width="8.6328125" style="4"/>
  </cols>
  <sheetData>
    <row r="1" spans="1:18" ht="31.5" customHeight="1" x14ac:dyDescent="0.3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5"/>
    </row>
    <row r="2" spans="1:18" ht="36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6" t="s">
        <v>89</v>
      </c>
    </row>
    <row r="3" spans="1:18" s="14" customFormat="1" ht="21.75" customHeight="1" x14ac:dyDescent="0.35">
      <c r="A3" s="7">
        <v>168028</v>
      </c>
      <c r="B3" s="9" t="s">
        <v>100</v>
      </c>
      <c r="C3" s="9" t="s">
        <v>101</v>
      </c>
      <c r="D3" s="9" t="s">
        <v>90</v>
      </c>
      <c r="E3" s="10">
        <v>31046</v>
      </c>
      <c r="F3" s="11">
        <f ca="1">DATEDIF(E3,TODAY(),"Y")</f>
        <v>41</v>
      </c>
      <c r="G3" s="11">
        <f t="shared" ref="G3:G47" ca="1" si="0">IF(F3="","",IF(F3&lt;50,1,IF(F3&lt;55,2,IF(F3&lt;58,3,IF(F3&lt;60,4,5)))))</f>
        <v>1</v>
      </c>
      <c r="H3" s="12">
        <v>3</v>
      </c>
      <c r="I3" s="12">
        <v>3</v>
      </c>
      <c r="J3" s="12">
        <v>2</v>
      </c>
      <c r="K3" s="12">
        <v>3</v>
      </c>
      <c r="L3" s="13">
        <f t="shared" ref="L3:L47" ca="1" si="1">IF(OR(I3="",J3="",K3="",G3=""),"",ROUND(G3*0.2+I3*0.3+J3*0.3+K3*0.2,2))</f>
        <v>2.2999999999999998</v>
      </c>
      <c r="M3" s="13" t="str">
        <f t="shared" ref="M3:M47" ca="1" si="2">IF(OR(H3="",L3=""),"",IF(AND(H3&gt;=4,L3&gt;=3.5),"High Impact + High Risk",IF(AND(H3&gt;=4,L3&lt;3.5),"High Impact + Low Risk",IF(AND(H3&lt;4,L3&gt;=3.5),"Low Impact + High Risk","Low Impact + Low Risk"))))</f>
        <v>Low Impact + Low Risk</v>
      </c>
      <c r="N3" s="9"/>
      <c r="O3" s="9"/>
      <c r="P3" s="9"/>
      <c r="Q3" s="9"/>
      <c r="R3" s="7" t="s">
        <v>102</v>
      </c>
    </row>
    <row r="4" spans="1:18" s="14" customFormat="1" ht="21.75" customHeight="1" x14ac:dyDescent="0.35">
      <c r="A4" s="8">
        <v>150026</v>
      </c>
      <c r="B4" s="15" t="s">
        <v>103</v>
      </c>
      <c r="C4" s="15" t="s">
        <v>104</v>
      </c>
      <c r="D4" s="15" t="s">
        <v>90</v>
      </c>
      <c r="E4" s="16">
        <v>29304</v>
      </c>
      <c r="F4" s="17">
        <f t="shared" ref="F4:F47" ca="1" si="3">DATEDIF(E4,TODAY(),"Y")</f>
        <v>46</v>
      </c>
      <c r="G4" s="17">
        <f t="shared" ca="1" si="0"/>
        <v>1</v>
      </c>
      <c r="H4" s="12">
        <v>4</v>
      </c>
      <c r="I4" s="12">
        <v>3</v>
      </c>
      <c r="J4" s="12">
        <v>3</v>
      </c>
      <c r="K4" s="12">
        <v>3</v>
      </c>
      <c r="L4" s="18">
        <f t="shared" ca="1" si="1"/>
        <v>2.6</v>
      </c>
      <c r="M4" s="18" t="str">
        <f t="shared" ca="1" si="2"/>
        <v>High Impact + Low Risk</v>
      </c>
      <c r="N4" s="15"/>
      <c r="O4" s="15"/>
      <c r="P4" s="15"/>
      <c r="Q4" s="15"/>
      <c r="R4" s="8" t="s">
        <v>102</v>
      </c>
    </row>
    <row r="5" spans="1:18" s="14" customFormat="1" ht="21.75" customHeight="1" x14ac:dyDescent="0.35">
      <c r="A5" s="7">
        <v>147022</v>
      </c>
      <c r="B5" s="9" t="s">
        <v>105</v>
      </c>
      <c r="C5" s="9" t="s">
        <v>106</v>
      </c>
      <c r="D5" s="9" t="s">
        <v>90</v>
      </c>
      <c r="E5" s="10">
        <v>29168</v>
      </c>
      <c r="F5" s="11">
        <f t="shared" ca="1" si="3"/>
        <v>46</v>
      </c>
      <c r="G5" s="11">
        <f t="shared" ca="1" si="0"/>
        <v>1</v>
      </c>
      <c r="H5" s="12">
        <v>4</v>
      </c>
      <c r="I5" s="12">
        <v>1</v>
      </c>
      <c r="J5" s="12">
        <v>3</v>
      </c>
      <c r="K5" s="12">
        <v>4</v>
      </c>
      <c r="L5" s="13">
        <f t="shared" ca="1" si="1"/>
        <v>2.2000000000000002</v>
      </c>
      <c r="M5" s="13" t="str">
        <f t="shared" ca="1" si="2"/>
        <v>High Impact + Low Risk</v>
      </c>
      <c r="N5" s="9"/>
      <c r="O5" s="9"/>
      <c r="P5" s="9"/>
      <c r="Q5" s="9"/>
      <c r="R5" s="7" t="s">
        <v>102</v>
      </c>
    </row>
    <row r="6" spans="1:18" s="14" customFormat="1" ht="21.75" customHeight="1" x14ac:dyDescent="0.35">
      <c r="A6" s="8">
        <v>136049</v>
      </c>
      <c r="B6" s="15" t="s">
        <v>107</v>
      </c>
      <c r="C6" s="15" t="s">
        <v>108</v>
      </c>
      <c r="D6" s="15" t="s">
        <v>90</v>
      </c>
      <c r="E6" s="16">
        <v>25766</v>
      </c>
      <c r="F6" s="17">
        <f t="shared" ca="1" si="3"/>
        <v>56</v>
      </c>
      <c r="G6" s="17">
        <f t="shared" ca="1" si="0"/>
        <v>3</v>
      </c>
      <c r="H6" s="12">
        <v>5</v>
      </c>
      <c r="I6" s="12">
        <v>1</v>
      </c>
      <c r="J6" s="12">
        <v>5</v>
      </c>
      <c r="K6" s="12">
        <v>4</v>
      </c>
      <c r="L6" s="18">
        <f t="shared" ca="1" si="1"/>
        <v>3.2</v>
      </c>
      <c r="M6" s="18" t="str">
        <f t="shared" ca="1" si="2"/>
        <v>High Impact + Low Risk</v>
      </c>
      <c r="N6" s="15"/>
      <c r="O6" s="15"/>
      <c r="P6" s="15"/>
      <c r="Q6" s="15"/>
      <c r="R6" s="8" t="s">
        <v>102</v>
      </c>
    </row>
    <row r="7" spans="1:18" s="14" customFormat="1" ht="21.75" customHeight="1" x14ac:dyDescent="0.35">
      <c r="A7" s="7">
        <v>161027</v>
      </c>
      <c r="B7" s="9" t="s">
        <v>109</v>
      </c>
      <c r="C7" s="9" t="s">
        <v>110</v>
      </c>
      <c r="D7" s="9" t="s">
        <v>90</v>
      </c>
      <c r="E7" s="10">
        <v>31632</v>
      </c>
      <c r="F7" s="11">
        <f t="shared" ca="1" si="3"/>
        <v>40</v>
      </c>
      <c r="G7" s="11">
        <f t="shared" ca="1" si="0"/>
        <v>1</v>
      </c>
      <c r="H7" s="12">
        <v>3</v>
      </c>
      <c r="I7" s="12">
        <v>3</v>
      </c>
      <c r="J7" s="12">
        <v>2</v>
      </c>
      <c r="K7" s="12">
        <v>3</v>
      </c>
      <c r="L7" s="13">
        <f t="shared" ca="1" si="1"/>
        <v>2.2999999999999998</v>
      </c>
      <c r="M7" s="13" t="str">
        <f t="shared" ca="1" si="2"/>
        <v>Low Impact + Low Risk</v>
      </c>
      <c r="N7" s="9"/>
      <c r="O7" s="9"/>
      <c r="P7" s="9"/>
      <c r="Q7" s="9"/>
      <c r="R7" s="7" t="s">
        <v>102</v>
      </c>
    </row>
    <row r="8" spans="1:18" s="14" customFormat="1" ht="21.75" customHeight="1" x14ac:dyDescent="0.35">
      <c r="A8" s="7">
        <v>656001</v>
      </c>
      <c r="B8" s="9" t="s">
        <v>111</v>
      </c>
      <c r="C8" s="9" t="s">
        <v>112</v>
      </c>
      <c r="D8" s="9" t="s">
        <v>90</v>
      </c>
      <c r="E8" s="10">
        <v>25400</v>
      </c>
      <c r="F8" s="11">
        <f t="shared" ca="1" si="3"/>
        <v>57</v>
      </c>
      <c r="G8" s="11">
        <f t="shared" ca="1" si="0"/>
        <v>3</v>
      </c>
      <c r="H8" s="12">
        <v>5</v>
      </c>
      <c r="I8" s="12">
        <v>1</v>
      </c>
      <c r="J8" s="12">
        <v>5</v>
      </c>
      <c r="K8" s="12">
        <v>4</v>
      </c>
      <c r="L8" s="13">
        <f t="shared" ca="1" si="1"/>
        <v>3.2</v>
      </c>
      <c r="M8" s="13" t="str">
        <f t="shared" ca="1" si="2"/>
        <v>High Impact + Low Risk</v>
      </c>
      <c r="N8" s="9"/>
      <c r="O8" s="9"/>
      <c r="P8" s="9"/>
      <c r="Q8" s="9"/>
      <c r="R8" s="7" t="s">
        <v>102</v>
      </c>
    </row>
    <row r="9" spans="1:18" s="14" customFormat="1" ht="21.75" customHeight="1" x14ac:dyDescent="0.35">
      <c r="A9" s="8">
        <v>656008</v>
      </c>
      <c r="B9" s="15" t="s">
        <v>113</v>
      </c>
      <c r="C9" s="15" t="s">
        <v>114</v>
      </c>
      <c r="D9" s="15" t="s">
        <v>90</v>
      </c>
      <c r="E9" s="16">
        <v>34150</v>
      </c>
      <c r="F9" s="17">
        <f t="shared" ca="1" si="3"/>
        <v>33</v>
      </c>
      <c r="G9" s="17">
        <f t="shared" ca="1" si="0"/>
        <v>1</v>
      </c>
      <c r="H9" s="19">
        <v>3</v>
      </c>
      <c r="I9" s="19">
        <v>3</v>
      </c>
      <c r="J9" s="19">
        <v>2</v>
      </c>
      <c r="K9" s="19">
        <v>3</v>
      </c>
      <c r="L9" s="18">
        <f t="shared" ca="1" si="1"/>
        <v>2.2999999999999998</v>
      </c>
      <c r="M9" s="18" t="str">
        <f t="shared" ca="1" si="2"/>
        <v>Low Impact + Low Risk</v>
      </c>
      <c r="N9" s="15"/>
      <c r="O9" s="15"/>
      <c r="P9" s="15"/>
      <c r="Q9" s="15"/>
      <c r="R9" s="8" t="s">
        <v>102</v>
      </c>
    </row>
    <row r="10" spans="1:18" s="14" customFormat="1" ht="21.75" customHeight="1" x14ac:dyDescent="0.35">
      <c r="A10" s="7">
        <v>168017</v>
      </c>
      <c r="B10" s="9" t="s">
        <v>115</v>
      </c>
      <c r="C10" s="9" t="s">
        <v>116</v>
      </c>
      <c r="D10" s="9" t="s">
        <v>90</v>
      </c>
      <c r="E10" s="10">
        <v>31953</v>
      </c>
      <c r="F10" s="11">
        <f t="shared" ca="1" si="3"/>
        <v>39</v>
      </c>
      <c r="G10" s="11">
        <f t="shared" ca="1" si="0"/>
        <v>1</v>
      </c>
      <c r="H10" s="12">
        <v>2</v>
      </c>
      <c r="I10" s="12">
        <v>1</v>
      </c>
      <c r="J10" s="12">
        <v>2</v>
      </c>
      <c r="K10" s="12">
        <v>1</v>
      </c>
      <c r="L10" s="13">
        <f t="shared" ca="1" si="1"/>
        <v>1.3</v>
      </c>
      <c r="M10" s="13" t="str">
        <f t="shared" ca="1" si="2"/>
        <v>Low Impact + Low Risk</v>
      </c>
      <c r="N10" s="9"/>
      <c r="O10" s="9"/>
      <c r="P10" s="9"/>
      <c r="Q10" s="9"/>
      <c r="R10" s="7" t="s">
        <v>117</v>
      </c>
    </row>
    <row r="11" spans="1:18" s="26" customFormat="1" ht="21.75" customHeight="1" x14ac:dyDescent="0.35">
      <c r="A11" s="27">
        <v>266049</v>
      </c>
      <c r="B11" s="28" t="s">
        <v>118</v>
      </c>
      <c r="C11" s="28" t="s">
        <v>119</v>
      </c>
      <c r="D11" s="28" t="s">
        <v>90</v>
      </c>
      <c r="E11" s="29">
        <v>28864</v>
      </c>
      <c r="F11" s="30">
        <f t="shared" ca="1" si="3"/>
        <v>47</v>
      </c>
      <c r="G11" s="30">
        <f t="shared" ca="1" si="0"/>
        <v>1</v>
      </c>
      <c r="H11" s="24">
        <v>4</v>
      </c>
      <c r="I11" s="24">
        <v>1</v>
      </c>
      <c r="J11" s="24">
        <v>3</v>
      </c>
      <c r="K11" s="24">
        <v>2</v>
      </c>
      <c r="L11" s="31">
        <f t="shared" ca="1" si="1"/>
        <v>1.8</v>
      </c>
      <c r="M11" s="31" t="str">
        <f t="shared" ca="1" si="2"/>
        <v>High Impact + Low Risk</v>
      </c>
      <c r="N11" s="28" t="s">
        <v>285</v>
      </c>
      <c r="O11" s="28" t="s">
        <v>252</v>
      </c>
      <c r="P11" s="28" t="s">
        <v>288</v>
      </c>
      <c r="Q11" s="28"/>
      <c r="R11" s="27" t="s">
        <v>117</v>
      </c>
    </row>
    <row r="12" spans="1:18" s="14" customFormat="1" ht="21.75" customHeight="1" x14ac:dyDescent="0.35">
      <c r="A12" s="7">
        <v>166027</v>
      </c>
      <c r="B12" s="9" t="s">
        <v>120</v>
      </c>
      <c r="C12" s="9" t="s">
        <v>121</v>
      </c>
      <c r="D12" s="9" t="s">
        <v>90</v>
      </c>
      <c r="E12" s="10">
        <v>29165</v>
      </c>
      <c r="F12" s="11">
        <f t="shared" ca="1" si="3"/>
        <v>46</v>
      </c>
      <c r="G12" s="11">
        <f t="shared" ca="1" si="0"/>
        <v>1</v>
      </c>
      <c r="H12" s="12">
        <v>3</v>
      </c>
      <c r="I12" s="12">
        <v>1</v>
      </c>
      <c r="J12" s="12">
        <v>1</v>
      </c>
      <c r="K12" s="12">
        <v>1</v>
      </c>
      <c r="L12" s="13">
        <f t="shared" ca="1" si="1"/>
        <v>1</v>
      </c>
      <c r="M12" s="13" t="str">
        <f t="shared" ca="1" si="2"/>
        <v>Low Impact + Low Risk</v>
      </c>
      <c r="N12" s="9"/>
      <c r="O12" s="9"/>
      <c r="P12" s="9"/>
      <c r="Q12" s="9"/>
      <c r="R12" s="7" t="s">
        <v>117</v>
      </c>
    </row>
    <row r="13" spans="1:18" s="26" customFormat="1" ht="21.75" customHeight="1" x14ac:dyDescent="0.35">
      <c r="A13" s="27">
        <v>466004</v>
      </c>
      <c r="B13" s="28" t="s">
        <v>181</v>
      </c>
      <c r="C13" s="28" t="s">
        <v>182</v>
      </c>
      <c r="D13" s="28" t="s">
        <v>90</v>
      </c>
      <c r="E13" s="29" t="s">
        <v>183</v>
      </c>
      <c r="F13" s="30">
        <v>66</v>
      </c>
      <c r="G13" s="30">
        <v>5</v>
      </c>
      <c r="H13" s="24">
        <v>4</v>
      </c>
      <c r="I13" s="24">
        <v>5</v>
      </c>
      <c r="J13" s="24">
        <v>3</v>
      </c>
      <c r="K13" s="24">
        <v>3</v>
      </c>
      <c r="L13" s="31">
        <f t="shared" si="1"/>
        <v>4</v>
      </c>
      <c r="M13" s="31" t="str">
        <f t="shared" si="2"/>
        <v>High Impact + High Risk</v>
      </c>
      <c r="N13" s="28" t="s">
        <v>284</v>
      </c>
      <c r="O13" s="28"/>
      <c r="P13" s="28" t="s">
        <v>256</v>
      </c>
      <c r="Q13" s="28"/>
      <c r="R13" s="27" t="s">
        <v>117</v>
      </c>
    </row>
    <row r="14" spans="1:18" s="26" customFormat="1" ht="21.75" customHeight="1" x14ac:dyDescent="0.35">
      <c r="A14" s="20">
        <v>159029</v>
      </c>
      <c r="B14" s="21" t="s">
        <v>178</v>
      </c>
      <c r="C14" s="21" t="s">
        <v>179</v>
      </c>
      <c r="D14" s="21" t="s">
        <v>90</v>
      </c>
      <c r="E14" s="22" t="s">
        <v>180</v>
      </c>
      <c r="F14" s="23">
        <v>52</v>
      </c>
      <c r="G14" s="23">
        <v>2</v>
      </c>
      <c r="H14" s="24">
        <v>4</v>
      </c>
      <c r="I14" s="24">
        <v>1</v>
      </c>
      <c r="J14" s="24">
        <v>2</v>
      </c>
      <c r="K14" s="24">
        <v>5</v>
      </c>
      <c r="L14" s="25">
        <f t="shared" ref="L14" si="4">IF(OR(I14="",J14="",K14="",G14=""),"",ROUND(G14*0.2+I14*0.3+J14*0.3+K14*0.2,2))</f>
        <v>2.2999999999999998</v>
      </c>
      <c r="M14" s="25" t="str">
        <f t="shared" ref="M14" si="5">IF(OR(H14="",L14=""),"",IF(AND(H14&gt;=4,L14&gt;=3.5),"High Impact + High Risk",IF(AND(H14&gt;=4,L14&lt;3.5),"High Impact + Low Risk",IF(AND(H14&lt;4,L14&gt;=3.5),"Low Impact + High Risk","Low Impact + Low Risk"))))</f>
        <v>High Impact + Low Risk</v>
      </c>
      <c r="N14" s="21" t="s">
        <v>284</v>
      </c>
      <c r="O14" s="21"/>
      <c r="P14" s="21" t="s">
        <v>257</v>
      </c>
      <c r="Q14" s="21"/>
      <c r="R14" s="20" t="s">
        <v>117</v>
      </c>
    </row>
    <row r="15" spans="1:18" s="38" customFormat="1" ht="21.75" customHeight="1" x14ac:dyDescent="0.35">
      <c r="A15" s="32">
        <v>239006</v>
      </c>
      <c r="B15" s="33" t="s">
        <v>123</v>
      </c>
      <c r="C15" s="33" t="s">
        <v>124</v>
      </c>
      <c r="D15" s="33" t="s">
        <v>90</v>
      </c>
      <c r="E15" s="34">
        <v>26179</v>
      </c>
      <c r="F15" s="35">
        <f t="shared" ca="1" si="3"/>
        <v>55</v>
      </c>
      <c r="G15" s="35">
        <f t="shared" ca="1" si="0"/>
        <v>3</v>
      </c>
      <c r="H15" s="36">
        <v>4</v>
      </c>
      <c r="I15" s="36">
        <v>3</v>
      </c>
      <c r="J15" s="36">
        <v>4</v>
      </c>
      <c r="K15" s="36">
        <v>3</v>
      </c>
      <c r="L15" s="37">
        <f t="shared" ca="1" si="1"/>
        <v>3.3</v>
      </c>
      <c r="M15" s="37" t="str">
        <f t="shared" ca="1" si="2"/>
        <v>High Impact + Low Risk</v>
      </c>
      <c r="N15" s="33"/>
      <c r="O15" s="33"/>
      <c r="P15" s="33" t="s">
        <v>258</v>
      </c>
      <c r="Q15" s="33" t="s">
        <v>286</v>
      </c>
      <c r="R15" s="32" t="s">
        <v>122</v>
      </c>
    </row>
    <row r="16" spans="1:18" s="38" customFormat="1" ht="21.75" customHeight="1" x14ac:dyDescent="0.35">
      <c r="A16" s="39">
        <v>246004</v>
      </c>
      <c r="B16" s="40" t="s">
        <v>125</v>
      </c>
      <c r="C16" s="40" t="s">
        <v>126</v>
      </c>
      <c r="D16" s="40" t="s">
        <v>90</v>
      </c>
      <c r="E16" s="41">
        <v>28270</v>
      </c>
      <c r="F16" s="42">
        <f t="shared" ca="1" si="3"/>
        <v>49</v>
      </c>
      <c r="G16" s="42">
        <f t="shared" ca="1" si="0"/>
        <v>1</v>
      </c>
      <c r="H16" s="36">
        <v>4</v>
      </c>
      <c r="I16" s="36">
        <v>1</v>
      </c>
      <c r="J16" s="36">
        <v>3</v>
      </c>
      <c r="K16" s="36">
        <v>4</v>
      </c>
      <c r="L16" s="43">
        <f t="shared" ca="1" si="1"/>
        <v>2.2000000000000002</v>
      </c>
      <c r="M16" s="43" t="str">
        <f t="shared" ca="1" si="2"/>
        <v>High Impact + Low Risk</v>
      </c>
      <c r="N16" s="40"/>
      <c r="O16" s="40"/>
      <c r="P16" s="40" t="s">
        <v>259</v>
      </c>
      <c r="Q16" s="40" t="s">
        <v>286</v>
      </c>
      <c r="R16" s="39" t="s">
        <v>122</v>
      </c>
    </row>
    <row r="17" spans="1:18" s="14" customFormat="1" ht="21.75" customHeight="1" x14ac:dyDescent="0.35">
      <c r="A17" s="7">
        <v>242032</v>
      </c>
      <c r="B17" s="9" t="s">
        <v>127</v>
      </c>
      <c r="C17" s="9" t="s">
        <v>250</v>
      </c>
      <c r="D17" s="9" t="s">
        <v>90</v>
      </c>
      <c r="E17" s="10">
        <v>27745</v>
      </c>
      <c r="F17" s="11">
        <f t="shared" ca="1" si="3"/>
        <v>50</v>
      </c>
      <c r="G17" s="11">
        <f t="shared" ca="1" si="0"/>
        <v>2</v>
      </c>
      <c r="H17" s="12">
        <v>3</v>
      </c>
      <c r="I17" s="12">
        <v>1</v>
      </c>
      <c r="J17" s="12">
        <v>4</v>
      </c>
      <c r="K17" s="12">
        <v>4</v>
      </c>
      <c r="L17" s="13">
        <f t="shared" ca="1" si="1"/>
        <v>2.7</v>
      </c>
      <c r="M17" s="13" t="str">
        <f t="shared" ca="1" si="2"/>
        <v>Low Impact + Low Risk</v>
      </c>
      <c r="N17" s="9"/>
      <c r="O17" s="9"/>
      <c r="P17" s="9"/>
      <c r="Q17" s="9" t="s">
        <v>286</v>
      </c>
      <c r="R17" s="7" t="s">
        <v>122</v>
      </c>
    </row>
    <row r="18" spans="1:18" s="14" customFormat="1" ht="21.75" customHeight="1" x14ac:dyDescent="0.35">
      <c r="A18" s="8">
        <v>149024</v>
      </c>
      <c r="B18" s="15" t="s">
        <v>128</v>
      </c>
      <c r="C18" s="15" t="s">
        <v>129</v>
      </c>
      <c r="D18" s="15" t="s">
        <v>90</v>
      </c>
      <c r="E18" s="16">
        <v>26070</v>
      </c>
      <c r="F18" s="17">
        <f t="shared" ca="1" si="3"/>
        <v>55</v>
      </c>
      <c r="G18" s="17">
        <f t="shared" ca="1" si="0"/>
        <v>3</v>
      </c>
      <c r="H18" s="12">
        <v>3</v>
      </c>
      <c r="I18" s="12">
        <v>1</v>
      </c>
      <c r="J18" s="12">
        <v>3</v>
      </c>
      <c r="K18" s="12">
        <v>3</v>
      </c>
      <c r="L18" s="18">
        <f t="shared" ca="1" si="1"/>
        <v>2.4</v>
      </c>
      <c r="M18" s="18" t="str">
        <f t="shared" ca="1" si="2"/>
        <v>Low Impact + Low Risk</v>
      </c>
      <c r="N18" s="15"/>
      <c r="O18" s="15"/>
      <c r="P18" s="15"/>
      <c r="Q18" s="15" t="s">
        <v>286</v>
      </c>
      <c r="R18" s="8" t="s">
        <v>122</v>
      </c>
    </row>
    <row r="19" spans="1:18" s="14" customFormat="1" ht="21.75" customHeight="1" x14ac:dyDescent="0.35">
      <c r="A19" s="7">
        <v>232027</v>
      </c>
      <c r="B19" s="9" t="s">
        <v>130</v>
      </c>
      <c r="C19" s="9" t="s">
        <v>131</v>
      </c>
      <c r="D19" s="9" t="s">
        <v>90</v>
      </c>
      <c r="E19" s="10">
        <v>24838</v>
      </c>
      <c r="F19" s="11">
        <f t="shared" ca="1" si="3"/>
        <v>58</v>
      </c>
      <c r="G19" s="11">
        <f t="shared" ca="1" si="0"/>
        <v>4</v>
      </c>
      <c r="H19" s="12">
        <v>3</v>
      </c>
      <c r="I19" s="12">
        <v>1</v>
      </c>
      <c r="J19" s="12">
        <v>4</v>
      </c>
      <c r="K19" s="12">
        <v>4</v>
      </c>
      <c r="L19" s="13">
        <f t="shared" ca="1" si="1"/>
        <v>3.1</v>
      </c>
      <c r="M19" s="13" t="str">
        <f t="shared" ca="1" si="2"/>
        <v>Low Impact + Low Risk</v>
      </c>
      <c r="N19" s="9"/>
      <c r="O19" s="9"/>
      <c r="P19" s="9"/>
      <c r="Q19" s="9" t="s">
        <v>286</v>
      </c>
      <c r="R19" s="7" t="s">
        <v>122</v>
      </c>
    </row>
    <row r="20" spans="1:18" s="14" customFormat="1" ht="21.75" customHeight="1" x14ac:dyDescent="0.35">
      <c r="A20" s="8">
        <v>256029</v>
      </c>
      <c r="B20" s="15" t="s">
        <v>132</v>
      </c>
      <c r="C20" s="15" t="s">
        <v>133</v>
      </c>
      <c r="D20" s="15" t="s">
        <v>90</v>
      </c>
      <c r="E20" s="16">
        <v>31119</v>
      </c>
      <c r="F20" s="17">
        <f t="shared" ca="1" si="3"/>
        <v>41</v>
      </c>
      <c r="G20" s="17">
        <f t="shared" ca="1" si="0"/>
        <v>1</v>
      </c>
      <c r="H20" s="12">
        <v>3</v>
      </c>
      <c r="I20" s="12">
        <v>1</v>
      </c>
      <c r="J20" s="12">
        <v>3</v>
      </c>
      <c r="K20" s="12">
        <v>3</v>
      </c>
      <c r="L20" s="18">
        <f t="shared" ca="1" si="1"/>
        <v>2</v>
      </c>
      <c r="M20" s="18" t="str">
        <f t="shared" ca="1" si="2"/>
        <v>Low Impact + Low Risk</v>
      </c>
      <c r="N20" s="15"/>
      <c r="O20" s="15"/>
      <c r="P20" s="15"/>
      <c r="Q20" s="15" t="s">
        <v>286</v>
      </c>
      <c r="R20" s="8" t="s">
        <v>122</v>
      </c>
    </row>
    <row r="21" spans="1:18" s="14" customFormat="1" ht="21.75" customHeight="1" x14ac:dyDescent="0.35">
      <c r="A21" s="7">
        <v>236012</v>
      </c>
      <c r="B21" s="9" t="s">
        <v>134</v>
      </c>
      <c r="C21" s="9" t="s">
        <v>135</v>
      </c>
      <c r="D21" s="9" t="s">
        <v>90</v>
      </c>
      <c r="E21" s="10">
        <v>26421</v>
      </c>
      <c r="F21" s="11">
        <f t="shared" ca="1" si="3"/>
        <v>54</v>
      </c>
      <c r="G21" s="11">
        <f t="shared" ca="1" si="0"/>
        <v>2</v>
      </c>
      <c r="H21" s="12">
        <v>3</v>
      </c>
      <c r="I21" s="12">
        <v>1</v>
      </c>
      <c r="J21" s="12">
        <v>3</v>
      </c>
      <c r="K21" s="12">
        <v>3</v>
      </c>
      <c r="L21" s="13">
        <f t="shared" ca="1" si="1"/>
        <v>2.2000000000000002</v>
      </c>
      <c r="M21" s="13" t="str">
        <f t="shared" ca="1" si="2"/>
        <v>Low Impact + Low Risk</v>
      </c>
      <c r="N21" s="9"/>
      <c r="O21" s="9"/>
      <c r="P21" s="9"/>
      <c r="Q21" s="9" t="s">
        <v>286</v>
      </c>
      <c r="R21" s="7" t="s">
        <v>122</v>
      </c>
    </row>
    <row r="22" spans="1:18" s="38" customFormat="1" ht="21.75" customHeight="1" x14ac:dyDescent="0.35">
      <c r="A22" s="39">
        <v>250042</v>
      </c>
      <c r="B22" s="40" t="s">
        <v>136</v>
      </c>
      <c r="C22" s="40" t="s">
        <v>137</v>
      </c>
      <c r="D22" s="40" t="s">
        <v>90</v>
      </c>
      <c r="E22" s="41">
        <v>26738</v>
      </c>
      <c r="F22" s="42">
        <f t="shared" ca="1" si="3"/>
        <v>53</v>
      </c>
      <c r="G22" s="42">
        <f t="shared" ca="1" si="0"/>
        <v>2</v>
      </c>
      <c r="H22" s="36">
        <v>4</v>
      </c>
      <c r="I22" s="36">
        <v>1</v>
      </c>
      <c r="J22" s="36">
        <v>4</v>
      </c>
      <c r="K22" s="36">
        <v>4</v>
      </c>
      <c r="L22" s="43">
        <f t="shared" ca="1" si="1"/>
        <v>2.7</v>
      </c>
      <c r="M22" s="43" t="str">
        <f t="shared" ca="1" si="2"/>
        <v>High Impact + Low Risk</v>
      </c>
      <c r="N22" s="40"/>
      <c r="O22" s="40"/>
      <c r="P22" s="40" t="s">
        <v>260</v>
      </c>
      <c r="Q22" s="40" t="s">
        <v>286</v>
      </c>
      <c r="R22" s="39" t="s">
        <v>122</v>
      </c>
    </row>
    <row r="23" spans="1:18" s="14" customFormat="1" ht="21.75" customHeight="1" x14ac:dyDescent="0.35">
      <c r="A23" s="7">
        <v>233034</v>
      </c>
      <c r="B23" s="9" t="s">
        <v>138</v>
      </c>
      <c r="C23" s="9" t="s">
        <v>139</v>
      </c>
      <c r="D23" s="9" t="s">
        <v>90</v>
      </c>
      <c r="E23" s="10">
        <v>25245</v>
      </c>
      <c r="F23" s="11">
        <f t="shared" ca="1" si="3"/>
        <v>57</v>
      </c>
      <c r="G23" s="11">
        <f t="shared" ca="1" si="0"/>
        <v>3</v>
      </c>
      <c r="H23" s="12">
        <v>3</v>
      </c>
      <c r="I23" s="12">
        <v>1</v>
      </c>
      <c r="J23" s="12">
        <v>3</v>
      </c>
      <c r="K23" s="12">
        <v>4</v>
      </c>
      <c r="L23" s="13">
        <f t="shared" ca="1" si="1"/>
        <v>2.6</v>
      </c>
      <c r="M23" s="13" t="str">
        <f t="shared" ca="1" si="2"/>
        <v>Low Impact + Low Risk</v>
      </c>
      <c r="N23" s="9"/>
      <c r="O23" s="9"/>
      <c r="P23" s="9"/>
      <c r="Q23" s="9" t="s">
        <v>286</v>
      </c>
      <c r="R23" s="7" t="s">
        <v>122</v>
      </c>
    </row>
    <row r="24" spans="1:18" s="14" customFormat="1" ht="21.75" customHeight="1" x14ac:dyDescent="0.35">
      <c r="A24" s="8">
        <v>268013</v>
      </c>
      <c r="B24" s="15" t="s">
        <v>140</v>
      </c>
      <c r="C24" s="15" t="s">
        <v>251</v>
      </c>
      <c r="D24" s="15" t="s">
        <v>90</v>
      </c>
      <c r="E24" s="16">
        <v>29244</v>
      </c>
      <c r="F24" s="17">
        <f t="shared" ca="1" si="3"/>
        <v>46</v>
      </c>
      <c r="G24" s="17">
        <f t="shared" ca="1" si="0"/>
        <v>1</v>
      </c>
      <c r="H24" s="12">
        <v>3</v>
      </c>
      <c r="I24" s="12">
        <v>3</v>
      </c>
      <c r="J24" s="12">
        <v>3</v>
      </c>
      <c r="K24" s="12">
        <v>4</v>
      </c>
      <c r="L24" s="18">
        <f t="shared" ca="1" si="1"/>
        <v>2.8</v>
      </c>
      <c r="M24" s="18" t="str">
        <f t="shared" ca="1" si="2"/>
        <v>Low Impact + Low Risk</v>
      </c>
      <c r="N24" s="15"/>
      <c r="O24" s="15"/>
      <c r="P24" s="15"/>
      <c r="Q24" s="15" t="s">
        <v>286</v>
      </c>
      <c r="R24" s="8" t="s">
        <v>122</v>
      </c>
    </row>
    <row r="25" spans="1:18" s="14" customFormat="1" ht="21.75" customHeight="1" x14ac:dyDescent="0.35">
      <c r="A25" s="7">
        <v>249010</v>
      </c>
      <c r="B25" s="9" t="s">
        <v>141</v>
      </c>
      <c r="C25" s="9" t="s">
        <v>142</v>
      </c>
      <c r="D25" s="9" t="s">
        <v>90</v>
      </c>
      <c r="E25" s="10">
        <v>27467</v>
      </c>
      <c r="F25" s="11">
        <f t="shared" ca="1" si="3"/>
        <v>51</v>
      </c>
      <c r="G25" s="11">
        <f t="shared" ca="1" si="0"/>
        <v>2</v>
      </c>
      <c r="H25" s="12">
        <v>3</v>
      </c>
      <c r="I25" s="12">
        <v>1</v>
      </c>
      <c r="J25" s="12">
        <v>4</v>
      </c>
      <c r="K25" s="12">
        <v>4</v>
      </c>
      <c r="L25" s="13">
        <f t="shared" ca="1" si="1"/>
        <v>2.7</v>
      </c>
      <c r="M25" s="13" t="str">
        <f t="shared" ca="1" si="2"/>
        <v>Low Impact + Low Risk</v>
      </c>
      <c r="N25" s="9"/>
      <c r="O25" s="9"/>
      <c r="P25" s="9"/>
      <c r="Q25" s="9" t="s">
        <v>286</v>
      </c>
      <c r="R25" s="7" t="s">
        <v>122</v>
      </c>
    </row>
    <row r="26" spans="1:18" s="14" customFormat="1" ht="21.75" customHeight="1" x14ac:dyDescent="0.35">
      <c r="A26" s="8">
        <v>268012</v>
      </c>
      <c r="B26" s="15" t="s">
        <v>143</v>
      </c>
      <c r="C26" s="15" t="s">
        <v>144</v>
      </c>
      <c r="D26" s="15" t="s">
        <v>90</v>
      </c>
      <c r="E26" s="16">
        <v>31704</v>
      </c>
      <c r="F26" s="17">
        <f t="shared" ca="1" si="3"/>
        <v>40</v>
      </c>
      <c r="G26" s="17">
        <f t="shared" ca="1" si="0"/>
        <v>1</v>
      </c>
      <c r="H26" s="12">
        <v>3</v>
      </c>
      <c r="I26" s="12">
        <v>5</v>
      </c>
      <c r="J26" s="12">
        <v>4</v>
      </c>
      <c r="K26" s="12">
        <v>4</v>
      </c>
      <c r="L26" s="18">
        <f t="shared" ca="1" si="1"/>
        <v>3.7</v>
      </c>
      <c r="M26" s="18" t="str">
        <f t="shared" ca="1" si="2"/>
        <v>Low Impact + High Risk</v>
      </c>
      <c r="N26" s="15"/>
      <c r="O26" s="15"/>
      <c r="P26" s="15"/>
      <c r="Q26" s="15" t="s">
        <v>286</v>
      </c>
      <c r="R26" s="8" t="s">
        <v>122</v>
      </c>
    </row>
    <row r="27" spans="1:18" s="14" customFormat="1" ht="21.75" customHeight="1" x14ac:dyDescent="0.35">
      <c r="A27" s="7">
        <v>238030</v>
      </c>
      <c r="B27" s="9" t="s">
        <v>145</v>
      </c>
      <c r="C27" s="9" t="s">
        <v>146</v>
      </c>
      <c r="D27" s="9" t="s">
        <v>90</v>
      </c>
      <c r="E27" s="10">
        <v>27404</v>
      </c>
      <c r="F27" s="11">
        <f t="shared" ca="1" si="3"/>
        <v>51</v>
      </c>
      <c r="G27" s="11">
        <f t="shared" ca="1" si="0"/>
        <v>2</v>
      </c>
      <c r="H27" s="12">
        <v>3</v>
      </c>
      <c r="I27" s="12">
        <v>1</v>
      </c>
      <c r="J27" s="12">
        <v>3</v>
      </c>
      <c r="K27" s="12">
        <v>4</v>
      </c>
      <c r="L27" s="13">
        <f t="shared" ca="1" si="1"/>
        <v>2.4</v>
      </c>
      <c r="M27" s="13" t="str">
        <f t="shared" ca="1" si="2"/>
        <v>Low Impact + Low Risk</v>
      </c>
      <c r="N27" s="9"/>
      <c r="O27" s="9"/>
      <c r="P27" s="9"/>
      <c r="Q27" s="9" t="s">
        <v>286</v>
      </c>
      <c r="R27" s="7" t="s">
        <v>122</v>
      </c>
    </row>
    <row r="28" spans="1:18" s="38" customFormat="1" ht="21.75" customHeight="1" x14ac:dyDescent="0.35">
      <c r="A28" s="39">
        <v>256014</v>
      </c>
      <c r="B28" s="40" t="s">
        <v>147</v>
      </c>
      <c r="C28" s="40" t="s">
        <v>148</v>
      </c>
      <c r="D28" s="40" t="s">
        <v>90</v>
      </c>
      <c r="E28" s="41">
        <v>32349</v>
      </c>
      <c r="F28" s="42">
        <f t="shared" ca="1" si="3"/>
        <v>38</v>
      </c>
      <c r="G28" s="42">
        <f t="shared" ca="1" si="0"/>
        <v>1</v>
      </c>
      <c r="H28" s="36">
        <v>4</v>
      </c>
      <c r="I28" s="36">
        <v>1</v>
      </c>
      <c r="J28" s="36">
        <v>4</v>
      </c>
      <c r="K28" s="36">
        <v>4</v>
      </c>
      <c r="L28" s="43">
        <f t="shared" ca="1" si="1"/>
        <v>2.5</v>
      </c>
      <c r="M28" s="43" t="str">
        <f t="shared" ca="1" si="2"/>
        <v>High Impact + Low Risk</v>
      </c>
      <c r="N28" s="40"/>
      <c r="O28" s="40"/>
      <c r="P28" s="40" t="s">
        <v>261</v>
      </c>
      <c r="Q28" s="40" t="s">
        <v>286</v>
      </c>
      <c r="R28" s="39" t="s">
        <v>122</v>
      </c>
    </row>
    <row r="29" spans="1:18" s="38" customFormat="1" ht="21.75" customHeight="1" x14ac:dyDescent="0.35">
      <c r="A29" s="32">
        <v>443003</v>
      </c>
      <c r="B29" s="33" t="s">
        <v>149</v>
      </c>
      <c r="C29" s="33" t="s">
        <v>150</v>
      </c>
      <c r="D29" s="33" t="s">
        <v>90</v>
      </c>
      <c r="E29" s="34">
        <v>28572</v>
      </c>
      <c r="F29" s="35">
        <f t="shared" ca="1" si="3"/>
        <v>48</v>
      </c>
      <c r="G29" s="35">
        <f t="shared" ca="1" si="0"/>
        <v>1</v>
      </c>
      <c r="H29" s="36">
        <v>4</v>
      </c>
      <c r="I29" s="36">
        <v>1</v>
      </c>
      <c r="J29" s="36">
        <v>4</v>
      </c>
      <c r="K29" s="36">
        <v>5</v>
      </c>
      <c r="L29" s="37">
        <f t="shared" ca="1" si="1"/>
        <v>2.7</v>
      </c>
      <c r="M29" s="37" t="str">
        <f t="shared" ca="1" si="2"/>
        <v>High Impact + Low Risk</v>
      </c>
      <c r="N29" s="33"/>
      <c r="O29" s="33"/>
      <c r="P29" s="33" t="s">
        <v>262</v>
      </c>
      <c r="Q29" s="33" t="s">
        <v>286</v>
      </c>
      <c r="R29" s="32" t="s">
        <v>122</v>
      </c>
    </row>
    <row r="30" spans="1:18" s="38" customFormat="1" ht="21.75" customHeight="1" x14ac:dyDescent="0.35">
      <c r="A30" s="39">
        <v>254057</v>
      </c>
      <c r="B30" s="40" t="s">
        <v>151</v>
      </c>
      <c r="C30" s="40" t="s">
        <v>152</v>
      </c>
      <c r="D30" s="40" t="s">
        <v>90</v>
      </c>
      <c r="E30" s="41">
        <v>32420</v>
      </c>
      <c r="F30" s="42">
        <f t="shared" ca="1" si="3"/>
        <v>38</v>
      </c>
      <c r="G30" s="42">
        <f t="shared" ca="1" si="0"/>
        <v>1</v>
      </c>
      <c r="H30" s="36">
        <v>4</v>
      </c>
      <c r="I30" s="36">
        <v>1</v>
      </c>
      <c r="J30" s="36">
        <v>4</v>
      </c>
      <c r="K30" s="36">
        <v>4</v>
      </c>
      <c r="L30" s="43">
        <f t="shared" ca="1" si="1"/>
        <v>2.5</v>
      </c>
      <c r="M30" s="43" t="str">
        <f t="shared" ca="1" si="2"/>
        <v>High Impact + Low Risk</v>
      </c>
      <c r="N30" s="40"/>
      <c r="O30" s="40"/>
      <c r="P30" s="40" t="s">
        <v>263</v>
      </c>
      <c r="Q30" s="40" t="s">
        <v>286</v>
      </c>
      <c r="R30" s="39" t="s">
        <v>122</v>
      </c>
    </row>
    <row r="31" spans="1:18" s="38" customFormat="1" ht="21.75" customHeight="1" x14ac:dyDescent="0.35">
      <c r="A31" s="32">
        <v>237011</v>
      </c>
      <c r="B31" s="33" t="s">
        <v>153</v>
      </c>
      <c r="C31" s="33" t="s">
        <v>150</v>
      </c>
      <c r="D31" s="33" t="s">
        <v>90</v>
      </c>
      <c r="E31" s="34">
        <v>25410</v>
      </c>
      <c r="F31" s="35">
        <f t="shared" ca="1" si="3"/>
        <v>57</v>
      </c>
      <c r="G31" s="35">
        <f t="shared" ca="1" si="0"/>
        <v>3</v>
      </c>
      <c r="H31" s="36">
        <v>4</v>
      </c>
      <c r="I31" s="36">
        <v>1</v>
      </c>
      <c r="J31" s="36">
        <v>4</v>
      </c>
      <c r="K31" s="36">
        <v>5</v>
      </c>
      <c r="L31" s="37">
        <f t="shared" ca="1" si="1"/>
        <v>3.1</v>
      </c>
      <c r="M31" s="37" t="str">
        <f t="shared" ca="1" si="2"/>
        <v>High Impact + Low Risk</v>
      </c>
      <c r="N31" s="33"/>
      <c r="O31" s="33"/>
      <c r="P31" s="33" t="s">
        <v>262</v>
      </c>
      <c r="Q31" s="33" t="s">
        <v>286</v>
      </c>
      <c r="R31" s="32" t="s">
        <v>122</v>
      </c>
    </row>
    <row r="32" spans="1:18" s="38" customFormat="1" ht="21.75" customHeight="1" x14ac:dyDescent="0.35">
      <c r="A32" s="39">
        <v>267096</v>
      </c>
      <c r="B32" s="40" t="s">
        <v>154</v>
      </c>
      <c r="C32" s="40" t="s">
        <v>155</v>
      </c>
      <c r="D32" s="40" t="s">
        <v>90</v>
      </c>
      <c r="E32" s="41">
        <v>32140</v>
      </c>
      <c r="F32" s="42">
        <f t="shared" ca="1" si="3"/>
        <v>38</v>
      </c>
      <c r="G32" s="42">
        <f t="shared" ca="1" si="0"/>
        <v>1</v>
      </c>
      <c r="H32" s="36">
        <v>4</v>
      </c>
      <c r="I32" s="36">
        <v>3</v>
      </c>
      <c r="J32" s="36">
        <v>4</v>
      </c>
      <c r="K32" s="36">
        <v>4</v>
      </c>
      <c r="L32" s="43">
        <f t="shared" ca="1" si="1"/>
        <v>3.1</v>
      </c>
      <c r="M32" s="43" t="str">
        <f t="shared" ca="1" si="2"/>
        <v>High Impact + Low Risk</v>
      </c>
      <c r="N32" s="40"/>
      <c r="O32" s="40"/>
      <c r="P32" s="40" t="s">
        <v>264</v>
      </c>
      <c r="Q32" s="40" t="s">
        <v>286</v>
      </c>
      <c r="R32" s="39" t="s">
        <v>122</v>
      </c>
    </row>
    <row r="33" spans="1:18" s="38" customFormat="1" ht="21.75" customHeight="1" x14ac:dyDescent="0.35">
      <c r="A33" s="32">
        <v>249048</v>
      </c>
      <c r="B33" s="33" t="s">
        <v>156</v>
      </c>
      <c r="C33" s="33" t="s">
        <v>150</v>
      </c>
      <c r="D33" s="33" t="s">
        <v>90</v>
      </c>
      <c r="E33" s="34">
        <v>29299</v>
      </c>
      <c r="F33" s="35">
        <f t="shared" ca="1" si="3"/>
        <v>46</v>
      </c>
      <c r="G33" s="35">
        <f t="shared" ca="1" si="0"/>
        <v>1</v>
      </c>
      <c r="H33" s="36">
        <v>4</v>
      </c>
      <c r="I33" s="36">
        <v>1</v>
      </c>
      <c r="J33" s="36">
        <v>4</v>
      </c>
      <c r="K33" s="36">
        <v>5</v>
      </c>
      <c r="L33" s="37">
        <f t="shared" ca="1" si="1"/>
        <v>2.7</v>
      </c>
      <c r="M33" s="37" t="str">
        <f t="shared" ca="1" si="2"/>
        <v>High Impact + Low Risk</v>
      </c>
      <c r="N33" s="33"/>
      <c r="O33" s="33"/>
      <c r="P33" s="33" t="s">
        <v>262</v>
      </c>
      <c r="Q33" s="33" t="s">
        <v>286</v>
      </c>
      <c r="R33" s="32" t="s">
        <v>122</v>
      </c>
    </row>
    <row r="34" spans="1:18" s="38" customFormat="1" ht="21.75" customHeight="1" x14ac:dyDescent="0.35">
      <c r="A34" s="39">
        <v>269022</v>
      </c>
      <c r="B34" s="40" t="s">
        <v>157</v>
      </c>
      <c r="C34" s="40" t="s">
        <v>158</v>
      </c>
      <c r="D34" s="40" t="s">
        <v>90</v>
      </c>
      <c r="E34" s="41">
        <v>30852</v>
      </c>
      <c r="F34" s="42">
        <f t="shared" ca="1" si="3"/>
        <v>42</v>
      </c>
      <c r="G34" s="42">
        <f t="shared" ca="1" si="0"/>
        <v>1</v>
      </c>
      <c r="H34" s="36">
        <v>4</v>
      </c>
      <c r="I34" s="36">
        <v>3</v>
      </c>
      <c r="J34" s="36">
        <v>4</v>
      </c>
      <c r="K34" s="36">
        <v>4</v>
      </c>
      <c r="L34" s="43">
        <f t="shared" ca="1" si="1"/>
        <v>3.1</v>
      </c>
      <c r="M34" s="43" t="str">
        <f t="shared" ca="1" si="2"/>
        <v>High Impact + Low Risk</v>
      </c>
      <c r="N34" s="40"/>
      <c r="O34" s="40"/>
      <c r="P34" s="40" t="s">
        <v>265</v>
      </c>
      <c r="Q34" s="40" t="s">
        <v>286</v>
      </c>
      <c r="R34" s="39" t="s">
        <v>122</v>
      </c>
    </row>
    <row r="35" spans="1:18" s="14" customFormat="1" ht="21.75" customHeight="1" x14ac:dyDescent="0.35">
      <c r="A35" s="7">
        <v>253014</v>
      </c>
      <c r="B35" s="9" t="s">
        <v>159</v>
      </c>
      <c r="C35" s="9" t="s">
        <v>160</v>
      </c>
      <c r="D35" s="9" t="s">
        <v>90</v>
      </c>
      <c r="E35" s="10">
        <v>30611</v>
      </c>
      <c r="F35" s="11">
        <f t="shared" ca="1" si="3"/>
        <v>43</v>
      </c>
      <c r="G35" s="11">
        <f t="shared" ca="1" si="0"/>
        <v>1</v>
      </c>
      <c r="H35" s="12">
        <v>3</v>
      </c>
      <c r="I35" s="12">
        <v>1</v>
      </c>
      <c r="J35" s="12">
        <v>3</v>
      </c>
      <c r="K35" s="12">
        <v>4</v>
      </c>
      <c r="L35" s="13">
        <f t="shared" ca="1" si="1"/>
        <v>2.2000000000000002</v>
      </c>
      <c r="M35" s="13" t="str">
        <f t="shared" ca="1" si="2"/>
        <v>Low Impact + Low Risk</v>
      </c>
      <c r="N35" s="9"/>
      <c r="O35" s="9"/>
      <c r="P35" s="9"/>
      <c r="Q35" s="9" t="s">
        <v>286</v>
      </c>
      <c r="R35" s="7" t="s">
        <v>122</v>
      </c>
    </row>
    <row r="36" spans="1:18" s="14" customFormat="1" ht="21.75" customHeight="1" x14ac:dyDescent="0.35">
      <c r="A36" s="8">
        <v>248031</v>
      </c>
      <c r="B36" s="15" t="s">
        <v>161</v>
      </c>
      <c r="C36" s="15" t="s">
        <v>162</v>
      </c>
      <c r="D36" s="15" t="s">
        <v>90</v>
      </c>
      <c r="E36" s="16">
        <v>29617</v>
      </c>
      <c r="F36" s="17">
        <f t="shared" ca="1" si="3"/>
        <v>45</v>
      </c>
      <c r="G36" s="17">
        <f t="shared" ca="1" si="0"/>
        <v>1</v>
      </c>
      <c r="H36" s="12">
        <v>3</v>
      </c>
      <c r="I36" s="12">
        <v>1</v>
      </c>
      <c r="J36" s="12">
        <v>4</v>
      </c>
      <c r="K36" s="12">
        <v>4</v>
      </c>
      <c r="L36" s="18">
        <f t="shared" ca="1" si="1"/>
        <v>2.5</v>
      </c>
      <c r="M36" s="18" t="str">
        <f t="shared" ca="1" si="2"/>
        <v>Low Impact + Low Risk</v>
      </c>
      <c r="N36" s="15"/>
      <c r="O36" s="15"/>
      <c r="P36" s="15"/>
      <c r="Q36" s="15" t="s">
        <v>286</v>
      </c>
      <c r="R36" s="8" t="s">
        <v>122</v>
      </c>
    </row>
    <row r="37" spans="1:18" s="38" customFormat="1" ht="21.75" customHeight="1" x14ac:dyDescent="0.35">
      <c r="A37" s="32">
        <v>251007</v>
      </c>
      <c r="B37" s="33" t="s">
        <v>163</v>
      </c>
      <c r="C37" s="33" t="s">
        <v>164</v>
      </c>
      <c r="D37" s="33" t="s">
        <v>90</v>
      </c>
      <c r="E37" s="34">
        <v>30522</v>
      </c>
      <c r="F37" s="35">
        <f t="shared" ca="1" si="3"/>
        <v>43</v>
      </c>
      <c r="G37" s="35">
        <f t="shared" ca="1" si="0"/>
        <v>1</v>
      </c>
      <c r="H37" s="36">
        <v>4</v>
      </c>
      <c r="I37" s="36">
        <v>1</v>
      </c>
      <c r="J37" s="36">
        <v>3</v>
      </c>
      <c r="K37" s="36">
        <v>4</v>
      </c>
      <c r="L37" s="37">
        <f t="shared" ca="1" si="1"/>
        <v>2.2000000000000002</v>
      </c>
      <c r="M37" s="37" t="str">
        <f t="shared" ca="1" si="2"/>
        <v>High Impact + Low Risk</v>
      </c>
      <c r="N37" s="33"/>
      <c r="O37" s="33"/>
      <c r="P37" s="33" t="s">
        <v>266</v>
      </c>
      <c r="Q37" s="33" t="s">
        <v>286</v>
      </c>
      <c r="R37" s="32" t="s">
        <v>122</v>
      </c>
    </row>
    <row r="38" spans="1:18" s="14" customFormat="1" ht="21.75" customHeight="1" x14ac:dyDescent="0.35">
      <c r="A38" s="8">
        <v>242012</v>
      </c>
      <c r="B38" s="15" t="s">
        <v>165</v>
      </c>
      <c r="C38" s="15" t="s">
        <v>166</v>
      </c>
      <c r="D38" s="15" t="s">
        <v>90</v>
      </c>
      <c r="E38" s="16">
        <v>28064</v>
      </c>
      <c r="F38" s="17">
        <f t="shared" ca="1" si="3"/>
        <v>49</v>
      </c>
      <c r="G38" s="17">
        <f t="shared" ca="1" si="0"/>
        <v>1</v>
      </c>
      <c r="H38" s="12">
        <v>3</v>
      </c>
      <c r="I38" s="12">
        <v>1</v>
      </c>
      <c r="J38" s="12">
        <v>4</v>
      </c>
      <c r="K38" s="12">
        <v>5</v>
      </c>
      <c r="L38" s="18">
        <f t="shared" ca="1" si="1"/>
        <v>2.7</v>
      </c>
      <c r="M38" s="18" t="str">
        <f t="shared" ca="1" si="2"/>
        <v>Low Impact + Low Risk</v>
      </c>
      <c r="N38" s="15"/>
      <c r="O38" s="15"/>
      <c r="P38" s="15"/>
      <c r="Q38" s="15" t="s">
        <v>286</v>
      </c>
      <c r="R38" s="8" t="s">
        <v>122</v>
      </c>
    </row>
    <row r="39" spans="1:18" s="38" customFormat="1" ht="21.75" customHeight="1" x14ac:dyDescent="0.35">
      <c r="A39" s="32">
        <v>257039</v>
      </c>
      <c r="B39" s="33" t="s">
        <v>167</v>
      </c>
      <c r="C39" s="33" t="s">
        <v>168</v>
      </c>
      <c r="D39" s="33" t="s">
        <v>90</v>
      </c>
      <c r="E39" s="34">
        <v>32578</v>
      </c>
      <c r="F39" s="35">
        <f t="shared" ca="1" si="3"/>
        <v>37</v>
      </c>
      <c r="G39" s="35">
        <f t="shared" ca="1" si="0"/>
        <v>1</v>
      </c>
      <c r="H39" s="36">
        <v>4</v>
      </c>
      <c r="I39" s="36">
        <v>3</v>
      </c>
      <c r="J39" s="36">
        <v>4</v>
      </c>
      <c r="K39" s="36">
        <v>4</v>
      </c>
      <c r="L39" s="37">
        <f t="shared" ca="1" si="1"/>
        <v>3.1</v>
      </c>
      <c r="M39" s="37" t="str">
        <f t="shared" ca="1" si="2"/>
        <v>High Impact + Low Risk</v>
      </c>
      <c r="N39" s="33"/>
      <c r="O39" s="33"/>
      <c r="P39" s="33" t="s">
        <v>267</v>
      </c>
      <c r="Q39" s="33" t="s">
        <v>286</v>
      </c>
      <c r="R39" s="32" t="s">
        <v>122</v>
      </c>
    </row>
    <row r="40" spans="1:18" s="14" customFormat="1" ht="21.75" customHeight="1" x14ac:dyDescent="0.35">
      <c r="A40" s="8">
        <v>244023</v>
      </c>
      <c r="B40" s="15" t="s">
        <v>169</v>
      </c>
      <c r="C40" s="15" t="s">
        <v>170</v>
      </c>
      <c r="D40" s="15" t="s">
        <v>90</v>
      </c>
      <c r="E40" s="16">
        <v>27775</v>
      </c>
      <c r="F40" s="17">
        <f t="shared" ca="1" si="3"/>
        <v>50</v>
      </c>
      <c r="G40" s="17">
        <f t="shared" ca="1" si="0"/>
        <v>2</v>
      </c>
      <c r="H40" s="12">
        <v>3</v>
      </c>
      <c r="I40" s="12">
        <v>1</v>
      </c>
      <c r="J40" s="12">
        <v>3</v>
      </c>
      <c r="K40" s="12">
        <v>4</v>
      </c>
      <c r="L40" s="18">
        <f t="shared" ca="1" si="1"/>
        <v>2.4</v>
      </c>
      <c r="M40" s="18" t="str">
        <f t="shared" ca="1" si="2"/>
        <v>Low Impact + Low Risk</v>
      </c>
      <c r="N40" s="15"/>
      <c r="O40" s="15"/>
      <c r="P40" s="15"/>
      <c r="Q40" s="15"/>
      <c r="R40" s="8" t="s">
        <v>122</v>
      </c>
    </row>
    <row r="41" spans="1:18" s="26" customFormat="1" ht="21.75" customHeight="1" x14ac:dyDescent="0.35">
      <c r="A41" s="20">
        <v>241009</v>
      </c>
      <c r="B41" s="21" t="s">
        <v>171</v>
      </c>
      <c r="C41" s="21" t="s">
        <v>172</v>
      </c>
      <c r="D41" s="21" t="s">
        <v>90</v>
      </c>
      <c r="E41" s="22">
        <v>28315</v>
      </c>
      <c r="F41" s="23">
        <f t="shared" ca="1" si="3"/>
        <v>49</v>
      </c>
      <c r="G41" s="23">
        <f t="shared" ca="1" si="0"/>
        <v>1</v>
      </c>
      <c r="H41" s="24">
        <v>4</v>
      </c>
      <c r="I41" s="24">
        <v>3</v>
      </c>
      <c r="J41" s="24">
        <v>4</v>
      </c>
      <c r="K41" s="24">
        <v>5</v>
      </c>
      <c r="L41" s="25">
        <f t="shared" ca="1" si="1"/>
        <v>3.3</v>
      </c>
      <c r="M41" s="25" t="str">
        <f t="shared" ca="1" si="2"/>
        <v>High Impact + Low Risk</v>
      </c>
      <c r="N41" s="21" t="s">
        <v>253</v>
      </c>
      <c r="O41" s="21" t="s">
        <v>62</v>
      </c>
      <c r="P41" s="21" t="s">
        <v>268</v>
      </c>
      <c r="Q41" s="21"/>
      <c r="R41" s="20" t="s">
        <v>173</v>
      </c>
    </row>
    <row r="42" spans="1:18" s="26" customFormat="1" ht="21.75" customHeight="1" x14ac:dyDescent="0.35">
      <c r="A42" s="27">
        <v>368001</v>
      </c>
      <c r="B42" s="28" t="s">
        <v>174</v>
      </c>
      <c r="C42" s="28" t="s">
        <v>175</v>
      </c>
      <c r="D42" s="28" t="s">
        <v>90</v>
      </c>
      <c r="E42" s="29">
        <v>30299</v>
      </c>
      <c r="F42" s="30">
        <f t="shared" ca="1" si="3"/>
        <v>43</v>
      </c>
      <c r="G42" s="30">
        <f t="shared" ca="1" si="0"/>
        <v>1</v>
      </c>
      <c r="H42" s="24">
        <v>4</v>
      </c>
      <c r="I42" s="24">
        <v>5</v>
      </c>
      <c r="J42" s="24">
        <v>4</v>
      </c>
      <c r="K42" s="24">
        <v>3</v>
      </c>
      <c r="L42" s="31">
        <f t="shared" ca="1" si="1"/>
        <v>3.5</v>
      </c>
      <c r="M42" s="31" t="str">
        <f t="shared" ca="1" si="2"/>
        <v>High Impact + High Risk</v>
      </c>
      <c r="N42" s="28" t="s">
        <v>284</v>
      </c>
      <c r="O42" s="28"/>
      <c r="P42" s="28" t="s">
        <v>269</v>
      </c>
      <c r="Q42" s="28"/>
      <c r="R42" s="27" t="s">
        <v>173</v>
      </c>
    </row>
    <row r="43" spans="1:18" s="26" customFormat="1" ht="21.75" customHeight="1" x14ac:dyDescent="0.35">
      <c r="A43" s="20">
        <v>148005</v>
      </c>
      <c r="B43" s="21" t="s">
        <v>176</v>
      </c>
      <c r="C43" s="21" t="s">
        <v>177</v>
      </c>
      <c r="D43" s="21" t="s">
        <v>90</v>
      </c>
      <c r="E43" s="22">
        <v>27329</v>
      </c>
      <c r="F43" s="23">
        <f t="shared" ca="1" si="3"/>
        <v>51</v>
      </c>
      <c r="G43" s="23">
        <f t="shared" ca="1" si="0"/>
        <v>2</v>
      </c>
      <c r="H43" s="24">
        <v>4</v>
      </c>
      <c r="I43" s="24">
        <v>1</v>
      </c>
      <c r="J43" s="24">
        <v>4</v>
      </c>
      <c r="K43" s="24">
        <v>4</v>
      </c>
      <c r="L43" s="25">
        <f t="shared" ca="1" si="1"/>
        <v>2.7</v>
      </c>
      <c r="M43" s="25" t="str">
        <f t="shared" ca="1" si="2"/>
        <v>High Impact + Low Risk</v>
      </c>
      <c r="N43" s="21" t="s">
        <v>284</v>
      </c>
      <c r="O43" s="21"/>
      <c r="P43" s="21" t="s">
        <v>270</v>
      </c>
      <c r="Q43" s="21"/>
      <c r="R43" s="20" t="s">
        <v>173</v>
      </c>
    </row>
    <row r="44" spans="1:18" s="14" customFormat="1" ht="21.75" customHeight="1" x14ac:dyDescent="0.35">
      <c r="A44" s="7">
        <v>267071</v>
      </c>
      <c r="B44" s="9" t="s">
        <v>91</v>
      </c>
      <c r="C44" s="9" t="s">
        <v>92</v>
      </c>
      <c r="D44" s="9" t="s">
        <v>90</v>
      </c>
      <c r="E44" s="10">
        <v>28726</v>
      </c>
      <c r="F44" s="11">
        <f t="shared" ca="1" si="3"/>
        <v>48</v>
      </c>
      <c r="G44" s="11">
        <f t="shared" ca="1" si="0"/>
        <v>1</v>
      </c>
      <c r="H44" s="12">
        <v>4</v>
      </c>
      <c r="I44" s="12">
        <v>1</v>
      </c>
      <c r="J44" s="12">
        <v>2</v>
      </c>
      <c r="K44" s="12">
        <v>2</v>
      </c>
      <c r="L44" s="13">
        <f t="shared" ca="1" si="1"/>
        <v>1.5</v>
      </c>
      <c r="M44" s="13" t="str">
        <f t="shared" ca="1" si="2"/>
        <v>High Impact + Low Risk</v>
      </c>
      <c r="N44" s="9" t="s">
        <v>284</v>
      </c>
      <c r="O44" s="9"/>
      <c r="P44" s="9" t="s">
        <v>271</v>
      </c>
      <c r="Q44" s="9"/>
      <c r="R44" s="7" t="s">
        <v>93</v>
      </c>
    </row>
    <row r="45" spans="1:18" s="14" customFormat="1" ht="21.75" customHeight="1" x14ac:dyDescent="0.35">
      <c r="A45" s="8">
        <v>268051</v>
      </c>
      <c r="B45" s="15" t="s">
        <v>94</v>
      </c>
      <c r="C45" s="15" t="s">
        <v>95</v>
      </c>
      <c r="D45" s="15" t="s">
        <v>90</v>
      </c>
      <c r="E45" s="16">
        <v>37469</v>
      </c>
      <c r="F45" s="17">
        <f t="shared" ca="1" si="3"/>
        <v>24</v>
      </c>
      <c r="G45" s="17">
        <f t="shared" ca="1" si="0"/>
        <v>1</v>
      </c>
      <c r="H45" s="12">
        <v>4</v>
      </c>
      <c r="I45" s="12">
        <v>5</v>
      </c>
      <c r="J45" s="12">
        <v>2</v>
      </c>
      <c r="K45" s="12">
        <v>2</v>
      </c>
      <c r="L45" s="18">
        <f t="shared" ca="1" si="1"/>
        <v>2.7</v>
      </c>
      <c r="M45" s="18" t="str">
        <f t="shared" ca="1" si="2"/>
        <v>High Impact + Low Risk</v>
      </c>
      <c r="N45" s="15" t="s">
        <v>284</v>
      </c>
      <c r="O45" s="15"/>
      <c r="P45" s="15" t="s">
        <v>272</v>
      </c>
      <c r="Q45" s="15"/>
      <c r="R45" s="8" t="s">
        <v>93</v>
      </c>
    </row>
    <row r="46" spans="1:18" s="14" customFormat="1" ht="21.75" customHeight="1" x14ac:dyDescent="0.35">
      <c r="A46" s="7">
        <v>269032</v>
      </c>
      <c r="B46" s="9" t="s">
        <v>96</v>
      </c>
      <c r="C46" s="9" t="s">
        <v>97</v>
      </c>
      <c r="D46" s="9" t="s">
        <v>90</v>
      </c>
      <c r="E46" s="10">
        <v>30484</v>
      </c>
      <c r="F46" s="11">
        <f t="shared" ca="1" si="3"/>
        <v>43</v>
      </c>
      <c r="G46" s="11">
        <f t="shared" ca="1" si="0"/>
        <v>1</v>
      </c>
      <c r="H46" s="12">
        <v>4</v>
      </c>
      <c r="I46" s="12">
        <v>3</v>
      </c>
      <c r="J46" s="12">
        <v>2</v>
      </c>
      <c r="K46" s="12">
        <v>2</v>
      </c>
      <c r="L46" s="13">
        <f t="shared" ca="1" si="1"/>
        <v>2.1</v>
      </c>
      <c r="M46" s="13" t="str">
        <f t="shared" ca="1" si="2"/>
        <v>High Impact + Low Risk</v>
      </c>
      <c r="N46" s="9" t="s">
        <v>284</v>
      </c>
      <c r="O46" s="9"/>
      <c r="P46" s="9" t="s">
        <v>273</v>
      </c>
      <c r="Q46" s="9"/>
      <c r="R46" s="7" t="s">
        <v>93</v>
      </c>
    </row>
    <row r="47" spans="1:18" s="14" customFormat="1" ht="21.75" customHeight="1" x14ac:dyDescent="0.35">
      <c r="A47" s="8">
        <v>250051</v>
      </c>
      <c r="B47" s="15" t="s">
        <v>98</v>
      </c>
      <c r="C47" s="15" t="s">
        <v>99</v>
      </c>
      <c r="D47" s="15" t="s">
        <v>90</v>
      </c>
      <c r="E47" s="16">
        <v>29866</v>
      </c>
      <c r="F47" s="17">
        <f t="shared" ca="1" si="3"/>
        <v>45</v>
      </c>
      <c r="G47" s="17">
        <f t="shared" ca="1" si="0"/>
        <v>1</v>
      </c>
      <c r="H47" s="12">
        <v>4</v>
      </c>
      <c r="I47" s="12">
        <v>1</v>
      </c>
      <c r="J47" s="12">
        <v>2</v>
      </c>
      <c r="K47" s="12">
        <v>2</v>
      </c>
      <c r="L47" s="18">
        <f t="shared" ca="1" si="1"/>
        <v>1.5</v>
      </c>
      <c r="M47" s="18" t="str">
        <f t="shared" ca="1" si="2"/>
        <v>High Impact + Low Risk</v>
      </c>
      <c r="N47" s="15" t="s">
        <v>254</v>
      </c>
      <c r="O47" s="15" t="s">
        <v>255</v>
      </c>
      <c r="P47" s="15" t="s">
        <v>274</v>
      </c>
      <c r="Q47" s="15"/>
      <c r="R47" s="8" t="s">
        <v>93</v>
      </c>
    </row>
    <row r="48" spans="1:18" s="14" customFormat="1" ht="21.75" customHeight="1" x14ac:dyDescent="0.35">
      <c r="A48" s="7">
        <v>146037</v>
      </c>
      <c r="B48" s="9" t="s">
        <v>184</v>
      </c>
      <c r="C48" s="9" t="s">
        <v>185</v>
      </c>
      <c r="D48" s="9" t="s">
        <v>90</v>
      </c>
      <c r="E48" s="10" t="s">
        <v>186</v>
      </c>
      <c r="F48" s="11">
        <v>60</v>
      </c>
      <c r="G48" s="11">
        <v>5</v>
      </c>
      <c r="H48" s="12">
        <v>5</v>
      </c>
      <c r="I48" s="12">
        <v>3</v>
      </c>
      <c r="J48" s="12">
        <v>4</v>
      </c>
      <c r="K48" s="12">
        <v>5</v>
      </c>
      <c r="L48" s="13">
        <f t="shared" ref="L48:L67" si="6">IF(OR(I48="",J48="",K48="",G48=""),"",ROUND(G48*0.2+I48*0.3+J48*0.3+K48*0.2,2))</f>
        <v>4.0999999999999996</v>
      </c>
      <c r="M48" s="13" t="str">
        <f t="shared" ref="M48:M67" si="7">IF(OR(H48="",L48=""),"",IF(AND(H48&gt;=4,L48&gt;=3.5),"High Impact + High Risk",IF(AND(H48&gt;=4,L48&lt;3.5),"High Impact + Low Risk",IF(AND(H48&lt;4,L48&gt;=3.5),"Low Impact + High Risk","Low Impact + Low Risk"))))</f>
        <v>High Impact + High Risk</v>
      </c>
      <c r="N48" s="9" t="s">
        <v>284</v>
      </c>
      <c r="O48" s="9"/>
      <c r="P48" s="9" t="s">
        <v>275</v>
      </c>
      <c r="Q48" s="9"/>
      <c r="R48" s="7" t="s">
        <v>242</v>
      </c>
    </row>
    <row r="49" spans="1:18" s="14" customFormat="1" ht="21.75" customHeight="1" x14ac:dyDescent="0.35">
      <c r="A49" s="8">
        <v>139013</v>
      </c>
      <c r="B49" s="15" t="s">
        <v>187</v>
      </c>
      <c r="C49" s="15" t="s">
        <v>188</v>
      </c>
      <c r="D49" s="15" t="s">
        <v>90</v>
      </c>
      <c r="E49" s="16" t="s">
        <v>189</v>
      </c>
      <c r="F49" s="17">
        <v>58</v>
      </c>
      <c r="G49" s="17">
        <v>4</v>
      </c>
      <c r="H49" s="12">
        <v>5</v>
      </c>
      <c r="I49" s="12">
        <v>3</v>
      </c>
      <c r="J49" s="12">
        <v>4</v>
      </c>
      <c r="K49" s="12">
        <v>5</v>
      </c>
      <c r="L49" s="18">
        <f t="shared" si="6"/>
        <v>3.9</v>
      </c>
      <c r="M49" s="18" t="str">
        <f t="shared" si="7"/>
        <v>High Impact + High Risk</v>
      </c>
      <c r="N49" s="15" t="s">
        <v>208</v>
      </c>
      <c r="O49" s="15" t="s">
        <v>252</v>
      </c>
      <c r="P49" s="15" t="s">
        <v>276</v>
      </c>
      <c r="Q49" s="15"/>
      <c r="R49" s="8" t="s">
        <v>242</v>
      </c>
    </row>
    <row r="50" spans="1:18" s="14" customFormat="1" ht="21.75" customHeight="1" x14ac:dyDescent="0.35">
      <c r="A50" s="7">
        <v>145015</v>
      </c>
      <c r="B50" s="9" t="s">
        <v>190</v>
      </c>
      <c r="C50" s="9" t="s">
        <v>191</v>
      </c>
      <c r="D50" s="9" t="s">
        <v>90</v>
      </c>
      <c r="E50" s="10" t="s">
        <v>192</v>
      </c>
      <c r="F50" s="11">
        <v>50</v>
      </c>
      <c r="G50" s="11">
        <v>2</v>
      </c>
      <c r="H50" s="12">
        <v>4</v>
      </c>
      <c r="I50" s="12">
        <v>3</v>
      </c>
      <c r="J50" s="12">
        <v>4</v>
      </c>
      <c r="K50" s="12">
        <v>4</v>
      </c>
      <c r="L50" s="13">
        <f t="shared" si="6"/>
        <v>3.3</v>
      </c>
      <c r="M50" s="13" t="str">
        <f t="shared" si="7"/>
        <v>High Impact + Low Risk</v>
      </c>
      <c r="N50" s="9" t="s">
        <v>284</v>
      </c>
      <c r="O50" s="9"/>
      <c r="P50" s="9" t="s">
        <v>277</v>
      </c>
      <c r="Q50" s="9"/>
      <c r="R50" s="7" t="s">
        <v>242</v>
      </c>
    </row>
    <row r="51" spans="1:18" s="14" customFormat="1" ht="21.75" customHeight="1" x14ac:dyDescent="0.35">
      <c r="A51" s="8">
        <v>161005</v>
      </c>
      <c r="B51" s="15" t="s">
        <v>193</v>
      </c>
      <c r="C51" s="15" t="s">
        <v>194</v>
      </c>
      <c r="D51" s="15" t="s">
        <v>90</v>
      </c>
      <c r="E51" s="16" t="s">
        <v>195</v>
      </c>
      <c r="F51" s="17">
        <v>45</v>
      </c>
      <c r="G51" s="17">
        <v>1</v>
      </c>
      <c r="H51" s="12">
        <v>2</v>
      </c>
      <c r="I51" s="12">
        <v>1</v>
      </c>
      <c r="J51" s="12">
        <v>3</v>
      </c>
      <c r="K51" s="12">
        <v>3</v>
      </c>
      <c r="L51" s="18">
        <f t="shared" si="6"/>
        <v>2</v>
      </c>
      <c r="M51" s="18" t="str">
        <f t="shared" si="7"/>
        <v>Low Impact + Low Risk</v>
      </c>
      <c r="N51" s="15"/>
      <c r="O51" s="15"/>
      <c r="P51" s="15"/>
      <c r="Q51" s="15"/>
      <c r="R51" s="8" t="s">
        <v>242</v>
      </c>
    </row>
    <row r="52" spans="1:18" s="14" customFormat="1" ht="21.75" customHeight="1" x14ac:dyDescent="0.35">
      <c r="A52" s="7">
        <v>163003</v>
      </c>
      <c r="B52" s="9" t="s">
        <v>196</v>
      </c>
      <c r="C52" s="9" t="s">
        <v>197</v>
      </c>
      <c r="D52" s="9" t="s">
        <v>90</v>
      </c>
      <c r="E52" s="10" t="s">
        <v>198</v>
      </c>
      <c r="F52" s="11">
        <v>34</v>
      </c>
      <c r="G52" s="11">
        <v>1</v>
      </c>
      <c r="H52" s="12">
        <v>3</v>
      </c>
      <c r="I52" s="12">
        <v>3</v>
      </c>
      <c r="J52" s="12">
        <v>2</v>
      </c>
      <c r="K52" s="12">
        <v>3</v>
      </c>
      <c r="L52" s="13">
        <f t="shared" si="6"/>
        <v>2.2999999999999998</v>
      </c>
      <c r="M52" s="13" t="str">
        <f t="shared" si="7"/>
        <v>Low Impact + Low Risk</v>
      </c>
      <c r="N52" s="9"/>
      <c r="O52" s="9"/>
      <c r="P52" s="9"/>
      <c r="Q52" s="9"/>
      <c r="R52" s="7" t="s">
        <v>242</v>
      </c>
    </row>
    <row r="53" spans="1:18" s="14" customFormat="1" ht="21.75" customHeight="1" x14ac:dyDescent="0.35">
      <c r="A53" s="8">
        <v>166024</v>
      </c>
      <c r="B53" s="15" t="s">
        <v>199</v>
      </c>
      <c r="C53" s="15" t="s">
        <v>200</v>
      </c>
      <c r="D53" s="15" t="s">
        <v>90</v>
      </c>
      <c r="E53" s="16" t="s">
        <v>201</v>
      </c>
      <c r="F53" s="17">
        <v>27</v>
      </c>
      <c r="G53" s="17">
        <v>1</v>
      </c>
      <c r="H53" s="12">
        <v>2</v>
      </c>
      <c r="I53" s="12">
        <v>3</v>
      </c>
      <c r="J53" s="12">
        <v>2</v>
      </c>
      <c r="K53" s="12">
        <v>3</v>
      </c>
      <c r="L53" s="18">
        <f t="shared" si="6"/>
        <v>2.2999999999999998</v>
      </c>
      <c r="M53" s="18" t="str">
        <f t="shared" si="7"/>
        <v>Low Impact + Low Risk</v>
      </c>
      <c r="N53" s="15"/>
      <c r="O53" s="15"/>
      <c r="P53" s="15"/>
      <c r="Q53" s="15"/>
      <c r="R53" s="8" t="s">
        <v>242</v>
      </c>
    </row>
    <row r="54" spans="1:18" s="14" customFormat="1" ht="21.75" customHeight="1" x14ac:dyDescent="0.35">
      <c r="A54" s="7">
        <v>167001</v>
      </c>
      <c r="B54" s="9" t="s">
        <v>202</v>
      </c>
      <c r="C54" s="9" t="s">
        <v>203</v>
      </c>
      <c r="D54" s="9" t="s">
        <v>90</v>
      </c>
      <c r="E54" s="10" t="s">
        <v>204</v>
      </c>
      <c r="F54" s="11">
        <v>37</v>
      </c>
      <c r="G54" s="11">
        <v>1</v>
      </c>
      <c r="H54" s="12">
        <v>3</v>
      </c>
      <c r="I54" s="12">
        <v>5</v>
      </c>
      <c r="J54" s="12">
        <v>3</v>
      </c>
      <c r="K54" s="12">
        <v>3</v>
      </c>
      <c r="L54" s="13">
        <f t="shared" si="6"/>
        <v>3.2</v>
      </c>
      <c r="M54" s="13" t="str">
        <f t="shared" si="7"/>
        <v>Low Impact + Low Risk</v>
      </c>
      <c r="N54" s="9"/>
      <c r="O54" s="9"/>
      <c r="P54" s="9"/>
      <c r="Q54" s="9"/>
      <c r="R54" s="7" t="s">
        <v>242</v>
      </c>
    </row>
    <row r="55" spans="1:18" s="14" customFormat="1" ht="21.75" customHeight="1" x14ac:dyDescent="0.35">
      <c r="A55" s="8">
        <v>167012</v>
      </c>
      <c r="B55" s="15" t="s">
        <v>205</v>
      </c>
      <c r="C55" s="15" t="s">
        <v>206</v>
      </c>
      <c r="D55" s="15" t="s">
        <v>90</v>
      </c>
      <c r="E55" s="16" t="s">
        <v>207</v>
      </c>
      <c r="F55" s="17">
        <v>31</v>
      </c>
      <c r="G55" s="17">
        <v>1</v>
      </c>
      <c r="H55" s="12">
        <v>2</v>
      </c>
      <c r="I55" s="12">
        <v>3</v>
      </c>
      <c r="J55" s="12">
        <v>3</v>
      </c>
      <c r="K55" s="12">
        <v>3</v>
      </c>
      <c r="L55" s="18">
        <f t="shared" si="6"/>
        <v>2.6</v>
      </c>
      <c r="M55" s="18" t="str">
        <f t="shared" si="7"/>
        <v>Low Impact + Low Risk</v>
      </c>
      <c r="N55" s="15"/>
      <c r="O55" s="15"/>
      <c r="P55" s="15"/>
      <c r="Q55" s="15"/>
      <c r="R55" s="8" t="s">
        <v>242</v>
      </c>
    </row>
    <row r="56" spans="1:18" s="14" customFormat="1" ht="21.75" customHeight="1" x14ac:dyDescent="0.35">
      <c r="A56" s="7">
        <v>260001</v>
      </c>
      <c r="B56" s="9" t="s">
        <v>208</v>
      </c>
      <c r="C56" s="9" t="s">
        <v>209</v>
      </c>
      <c r="D56" s="9" t="s">
        <v>90</v>
      </c>
      <c r="E56" s="10" t="s">
        <v>210</v>
      </c>
      <c r="F56" s="11">
        <v>35</v>
      </c>
      <c r="G56" s="11">
        <v>1</v>
      </c>
      <c r="H56" s="12">
        <v>5</v>
      </c>
      <c r="I56" s="12">
        <v>4</v>
      </c>
      <c r="J56" s="12">
        <v>4</v>
      </c>
      <c r="K56" s="12">
        <v>5</v>
      </c>
      <c r="L56" s="13">
        <f t="shared" si="6"/>
        <v>3.6</v>
      </c>
      <c r="M56" s="13" t="str">
        <f t="shared" si="7"/>
        <v>High Impact + High Risk</v>
      </c>
      <c r="N56" s="9" t="s">
        <v>284</v>
      </c>
      <c r="O56" s="9"/>
      <c r="P56" s="9" t="s">
        <v>278</v>
      </c>
      <c r="Q56" s="9"/>
      <c r="R56" s="7" t="s">
        <v>242</v>
      </c>
    </row>
    <row r="57" spans="1:18" s="14" customFormat="1" ht="21.75" customHeight="1" x14ac:dyDescent="0.35">
      <c r="A57" s="8">
        <v>267001</v>
      </c>
      <c r="B57" s="15" t="s">
        <v>211</v>
      </c>
      <c r="C57" s="15" t="s">
        <v>212</v>
      </c>
      <c r="D57" s="15" t="s">
        <v>90</v>
      </c>
      <c r="E57" s="16" t="s">
        <v>213</v>
      </c>
      <c r="F57" s="17">
        <v>31</v>
      </c>
      <c r="G57" s="17">
        <v>1</v>
      </c>
      <c r="H57" s="12">
        <v>3</v>
      </c>
      <c r="I57" s="12">
        <v>4</v>
      </c>
      <c r="J57" s="12">
        <v>3</v>
      </c>
      <c r="K57" s="12">
        <v>3</v>
      </c>
      <c r="L57" s="18">
        <f t="shared" si="6"/>
        <v>2.9</v>
      </c>
      <c r="M57" s="18" t="str">
        <f t="shared" si="7"/>
        <v>Low Impact + Low Risk</v>
      </c>
      <c r="N57" s="15"/>
      <c r="O57" s="15"/>
      <c r="P57" s="15"/>
      <c r="Q57" s="15"/>
      <c r="R57" s="8" t="s">
        <v>242</v>
      </c>
    </row>
    <row r="58" spans="1:18" s="14" customFormat="1" ht="21.75" customHeight="1" x14ac:dyDescent="0.35">
      <c r="A58" s="7">
        <v>160001</v>
      </c>
      <c r="B58" s="9" t="s">
        <v>214</v>
      </c>
      <c r="C58" s="9" t="s">
        <v>215</v>
      </c>
      <c r="D58" s="9" t="s">
        <v>90</v>
      </c>
      <c r="E58" s="10" t="s">
        <v>216</v>
      </c>
      <c r="F58" s="11">
        <v>46</v>
      </c>
      <c r="G58" s="11">
        <v>1</v>
      </c>
      <c r="H58" s="12">
        <v>4</v>
      </c>
      <c r="I58" s="12">
        <v>3</v>
      </c>
      <c r="J58" s="12">
        <v>4</v>
      </c>
      <c r="K58" s="12">
        <v>4</v>
      </c>
      <c r="L58" s="13">
        <f t="shared" si="6"/>
        <v>3.1</v>
      </c>
      <c r="M58" s="13" t="str">
        <f t="shared" si="7"/>
        <v>High Impact + Low Risk</v>
      </c>
      <c r="N58" s="9" t="s">
        <v>284</v>
      </c>
      <c r="O58" s="9"/>
      <c r="P58" s="9" t="s">
        <v>279</v>
      </c>
      <c r="Q58" s="9"/>
      <c r="R58" s="7" t="s">
        <v>242</v>
      </c>
    </row>
    <row r="59" spans="1:18" s="14" customFormat="1" ht="21.75" customHeight="1" x14ac:dyDescent="0.35">
      <c r="A59" s="7">
        <v>167020</v>
      </c>
      <c r="B59" s="9" t="s">
        <v>217</v>
      </c>
      <c r="C59" s="9" t="s">
        <v>218</v>
      </c>
      <c r="D59" s="9" t="s">
        <v>90</v>
      </c>
      <c r="E59" s="10" t="s">
        <v>219</v>
      </c>
      <c r="F59" s="11">
        <v>51</v>
      </c>
      <c r="G59" s="11">
        <v>2</v>
      </c>
      <c r="H59" s="12">
        <v>3</v>
      </c>
      <c r="I59" s="12">
        <v>3</v>
      </c>
      <c r="J59" s="12">
        <v>3</v>
      </c>
      <c r="K59" s="12">
        <v>4</v>
      </c>
      <c r="L59" s="13">
        <f t="shared" si="6"/>
        <v>3</v>
      </c>
      <c r="M59" s="13" t="str">
        <f t="shared" si="7"/>
        <v>Low Impact + Low Risk</v>
      </c>
      <c r="N59" s="9"/>
      <c r="O59" s="9"/>
      <c r="P59" s="9"/>
      <c r="Q59" s="9"/>
      <c r="R59" s="7" t="s">
        <v>242</v>
      </c>
    </row>
    <row r="60" spans="1:18" s="14" customFormat="1" ht="21.75" customHeight="1" x14ac:dyDescent="0.35">
      <c r="A60" s="8">
        <v>167029</v>
      </c>
      <c r="B60" s="15" t="s">
        <v>220</v>
      </c>
      <c r="C60" s="15" t="s">
        <v>221</v>
      </c>
      <c r="D60" s="15" t="s">
        <v>90</v>
      </c>
      <c r="E60" s="16" t="s">
        <v>222</v>
      </c>
      <c r="F60" s="17">
        <v>35</v>
      </c>
      <c r="G60" s="17">
        <v>1</v>
      </c>
      <c r="H60" s="12">
        <v>5</v>
      </c>
      <c r="I60" s="12">
        <v>3</v>
      </c>
      <c r="J60" s="12">
        <v>4</v>
      </c>
      <c r="K60" s="12">
        <v>5</v>
      </c>
      <c r="L60" s="18">
        <f t="shared" si="6"/>
        <v>3.3</v>
      </c>
      <c r="M60" s="18" t="str">
        <f t="shared" si="7"/>
        <v>High Impact + Low Risk</v>
      </c>
      <c r="N60" s="15" t="s">
        <v>284</v>
      </c>
      <c r="O60" s="15"/>
      <c r="P60" s="15" t="s">
        <v>280</v>
      </c>
      <c r="Q60" s="15"/>
      <c r="R60" s="8" t="s">
        <v>242</v>
      </c>
    </row>
    <row r="61" spans="1:18" s="14" customFormat="1" ht="21.75" customHeight="1" x14ac:dyDescent="0.35">
      <c r="A61" s="7">
        <v>167032</v>
      </c>
      <c r="B61" s="9" t="s">
        <v>223</v>
      </c>
      <c r="C61" s="9" t="s">
        <v>224</v>
      </c>
      <c r="D61" s="9" t="s">
        <v>90</v>
      </c>
      <c r="E61" s="10" t="s">
        <v>225</v>
      </c>
      <c r="F61" s="11">
        <v>29</v>
      </c>
      <c r="G61" s="11">
        <v>1</v>
      </c>
      <c r="H61" s="12">
        <v>3</v>
      </c>
      <c r="I61" s="12">
        <v>5</v>
      </c>
      <c r="J61" s="12">
        <v>3</v>
      </c>
      <c r="K61" s="12">
        <v>3</v>
      </c>
      <c r="L61" s="13">
        <f t="shared" si="6"/>
        <v>3.2</v>
      </c>
      <c r="M61" s="13" t="str">
        <f t="shared" si="7"/>
        <v>Low Impact + Low Risk</v>
      </c>
      <c r="N61" s="9"/>
      <c r="O61" s="9"/>
      <c r="P61" s="9"/>
      <c r="Q61" s="9"/>
      <c r="R61" s="7" t="s">
        <v>242</v>
      </c>
    </row>
    <row r="62" spans="1:18" s="14" customFormat="1" ht="21.75" customHeight="1" x14ac:dyDescent="0.35">
      <c r="A62" s="8">
        <v>168024</v>
      </c>
      <c r="B62" s="15" t="s">
        <v>226</v>
      </c>
      <c r="C62" s="15" t="s">
        <v>227</v>
      </c>
      <c r="D62" s="15" t="s">
        <v>90</v>
      </c>
      <c r="E62" s="16" t="s">
        <v>228</v>
      </c>
      <c r="F62" s="17">
        <v>46</v>
      </c>
      <c r="G62" s="17">
        <v>1</v>
      </c>
      <c r="H62" s="12">
        <v>5</v>
      </c>
      <c r="I62" s="12">
        <v>3</v>
      </c>
      <c r="J62" s="12">
        <v>4</v>
      </c>
      <c r="K62" s="12">
        <v>5</v>
      </c>
      <c r="L62" s="18">
        <f t="shared" si="6"/>
        <v>3.3</v>
      </c>
      <c r="M62" s="18" t="str">
        <f t="shared" si="7"/>
        <v>High Impact + Low Risk</v>
      </c>
      <c r="N62" s="15" t="s">
        <v>284</v>
      </c>
      <c r="O62" s="15"/>
      <c r="P62" s="15" t="s">
        <v>281</v>
      </c>
      <c r="Q62" s="15"/>
      <c r="R62" s="8" t="s">
        <v>242</v>
      </c>
    </row>
    <row r="63" spans="1:18" s="14" customFormat="1" ht="21.75" customHeight="1" x14ac:dyDescent="0.35">
      <c r="A63" s="8">
        <v>337004</v>
      </c>
      <c r="B63" s="15" t="s">
        <v>229</v>
      </c>
      <c r="C63" s="15" t="s">
        <v>230</v>
      </c>
      <c r="D63" s="15" t="s">
        <v>90</v>
      </c>
      <c r="E63" s="16" t="s">
        <v>231</v>
      </c>
      <c r="F63" s="17">
        <v>55</v>
      </c>
      <c r="G63" s="17">
        <v>3</v>
      </c>
      <c r="H63" s="12">
        <v>3</v>
      </c>
      <c r="I63" s="12">
        <v>1</v>
      </c>
      <c r="J63" s="12">
        <v>3</v>
      </c>
      <c r="K63" s="12">
        <v>4</v>
      </c>
      <c r="L63" s="18">
        <f t="shared" si="6"/>
        <v>2.6</v>
      </c>
      <c r="M63" s="18" t="str">
        <f t="shared" si="7"/>
        <v>Low Impact + Low Risk</v>
      </c>
      <c r="N63" s="15"/>
      <c r="O63" s="15"/>
      <c r="P63" s="15"/>
      <c r="Q63" s="15"/>
      <c r="R63" s="8" t="s">
        <v>242</v>
      </c>
    </row>
    <row r="64" spans="1:18" s="14" customFormat="1" ht="21.75" customHeight="1" x14ac:dyDescent="0.35">
      <c r="A64" s="8">
        <v>268044</v>
      </c>
      <c r="B64" s="15" t="s">
        <v>233</v>
      </c>
      <c r="C64" s="15" t="s">
        <v>232</v>
      </c>
      <c r="D64" s="15" t="s">
        <v>90</v>
      </c>
      <c r="E64" s="16" t="s">
        <v>234</v>
      </c>
      <c r="F64" s="17">
        <v>28</v>
      </c>
      <c r="G64" s="17">
        <v>1</v>
      </c>
      <c r="H64" s="12">
        <v>3</v>
      </c>
      <c r="I64" s="12">
        <v>4</v>
      </c>
      <c r="J64" s="12">
        <v>3</v>
      </c>
      <c r="K64" s="12">
        <v>3</v>
      </c>
      <c r="L64" s="18">
        <f t="shared" si="6"/>
        <v>2.9</v>
      </c>
      <c r="M64" s="18" t="str">
        <f t="shared" si="7"/>
        <v>Low Impact + Low Risk</v>
      </c>
      <c r="N64" s="15"/>
      <c r="O64" s="15"/>
      <c r="P64" s="15"/>
      <c r="Q64" s="15"/>
      <c r="R64" s="8" t="s">
        <v>242</v>
      </c>
    </row>
    <row r="65" spans="1:18" s="14" customFormat="1" ht="21.75" customHeight="1" x14ac:dyDescent="0.35">
      <c r="A65" s="7">
        <v>368004</v>
      </c>
      <c r="B65" s="9" t="s">
        <v>235</v>
      </c>
      <c r="C65" s="9" t="s">
        <v>236</v>
      </c>
      <c r="D65" s="9" t="s">
        <v>90</v>
      </c>
      <c r="E65" s="10" t="s">
        <v>237</v>
      </c>
      <c r="F65" s="11">
        <v>59</v>
      </c>
      <c r="G65" s="11">
        <v>4</v>
      </c>
      <c r="H65" s="12">
        <v>4</v>
      </c>
      <c r="I65" s="12">
        <v>3</v>
      </c>
      <c r="J65" s="12">
        <v>4</v>
      </c>
      <c r="K65" s="12">
        <v>4</v>
      </c>
      <c r="L65" s="13">
        <f t="shared" si="6"/>
        <v>3.7</v>
      </c>
      <c r="M65" s="13" t="str">
        <f t="shared" si="7"/>
        <v>High Impact + High Risk</v>
      </c>
      <c r="N65" s="9" t="s">
        <v>284</v>
      </c>
      <c r="O65" s="9"/>
      <c r="P65" s="9" t="s">
        <v>289</v>
      </c>
      <c r="Q65" s="9"/>
      <c r="R65" s="7" t="s">
        <v>242</v>
      </c>
    </row>
    <row r="66" spans="1:18" s="14" customFormat="1" ht="21.75" customHeight="1" x14ac:dyDescent="0.35">
      <c r="A66" s="7" t="s">
        <v>238</v>
      </c>
      <c r="B66" s="9" t="s">
        <v>128</v>
      </c>
      <c r="C66" s="9" t="s">
        <v>239</v>
      </c>
      <c r="D66" s="9" t="s">
        <v>90</v>
      </c>
      <c r="E66" s="10" t="s">
        <v>240</v>
      </c>
      <c r="F66" s="11">
        <v>55</v>
      </c>
      <c r="G66" s="11">
        <v>3</v>
      </c>
      <c r="H66" s="12">
        <v>4</v>
      </c>
      <c r="I66" s="12">
        <v>4</v>
      </c>
      <c r="J66" s="12">
        <v>4</v>
      </c>
      <c r="K66" s="12">
        <v>4</v>
      </c>
      <c r="L66" s="13">
        <f t="shared" si="6"/>
        <v>3.8</v>
      </c>
      <c r="M66" s="13" t="str">
        <f t="shared" si="7"/>
        <v>High Impact + High Risk</v>
      </c>
      <c r="N66" s="9" t="s">
        <v>284</v>
      </c>
      <c r="O66" s="9"/>
      <c r="P66" s="9" t="s">
        <v>287</v>
      </c>
      <c r="Q66" s="9"/>
      <c r="R66" s="7" t="s">
        <v>242</v>
      </c>
    </row>
    <row r="67" spans="1:18" s="26" customFormat="1" ht="21.75" customHeight="1" x14ac:dyDescent="0.35">
      <c r="A67" s="20">
        <v>168016</v>
      </c>
      <c r="B67" s="21" t="s">
        <v>243</v>
      </c>
      <c r="C67" s="21" t="s">
        <v>244</v>
      </c>
      <c r="D67" s="21" t="s">
        <v>90</v>
      </c>
      <c r="E67" s="22" t="s">
        <v>245</v>
      </c>
      <c r="F67" s="23">
        <v>35</v>
      </c>
      <c r="G67" s="23">
        <v>1</v>
      </c>
      <c r="H67" s="24">
        <v>4</v>
      </c>
      <c r="I67" s="24">
        <v>3</v>
      </c>
      <c r="J67" s="24">
        <v>4</v>
      </c>
      <c r="K67" s="24">
        <v>1</v>
      </c>
      <c r="L67" s="25">
        <f t="shared" si="6"/>
        <v>2.5</v>
      </c>
      <c r="M67" s="25" t="str">
        <f t="shared" si="7"/>
        <v>High Impact + Low Risk</v>
      </c>
      <c r="N67" s="21" t="s">
        <v>284</v>
      </c>
      <c r="O67" s="21" t="s">
        <v>241</v>
      </c>
      <c r="P67" s="21" t="s">
        <v>282</v>
      </c>
      <c r="Q67" s="21"/>
      <c r="R67" s="20" t="s">
        <v>246</v>
      </c>
    </row>
    <row r="68" spans="1:18" s="14" customFormat="1" ht="21.75" customHeight="1" x14ac:dyDescent="0.35">
      <c r="A68" s="8">
        <v>258026</v>
      </c>
      <c r="B68" s="15" t="s">
        <v>247</v>
      </c>
      <c r="C68" s="15" t="s">
        <v>248</v>
      </c>
      <c r="D68" s="15" t="s">
        <v>90</v>
      </c>
      <c r="E68" s="16" t="s">
        <v>249</v>
      </c>
      <c r="F68" s="17">
        <v>42</v>
      </c>
      <c r="G68" s="17">
        <v>1</v>
      </c>
      <c r="H68" s="12">
        <v>4</v>
      </c>
      <c r="I68" s="12">
        <v>3</v>
      </c>
      <c r="J68" s="12">
        <v>4</v>
      </c>
      <c r="K68" s="12">
        <v>3</v>
      </c>
      <c r="L68" s="18">
        <f t="shared" ref="L68" si="8">IF(OR(I68="",J68="",K68="",G68=""),"",ROUND(G68*0.2+I68*0.3+J68*0.3+K68*0.2,2))</f>
        <v>2.9</v>
      </c>
      <c r="M68" s="18" t="str">
        <f t="shared" ref="M68" si="9">IF(OR(H68="",L68=""),"",IF(AND(H68&gt;=4,L68&gt;=3.5),"High Impact + High Risk",IF(AND(H68&gt;=4,L68&lt;3.5),"High Impact + Low Risk",IF(AND(H68&lt;4,L68&gt;=3.5),"Low Impact + High Risk","Low Impact + Low Risk"))))</f>
        <v>High Impact + Low Risk</v>
      </c>
      <c r="N68" s="15" t="s">
        <v>96</v>
      </c>
      <c r="O68" s="15" t="s">
        <v>62</v>
      </c>
      <c r="P68" s="15" t="s">
        <v>283</v>
      </c>
      <c r="Q68" s="15"/>
      <c r="R68" s="8" t="s">
        <v>93</v>
      </c>
    </row>
  </sheetData>
  <autoFilter ref="A2:R68" xr:uid="{00000000-0001-0000-0000-000000000000}"/>
  <mergeCells count="1">
    <mergeCell ref="A1:Q1"/>
  </mergeCells>
  <dataValidations count="3">
    <dataValidation type="list" allowBlank="1" sqref="J3:K48 H3:H48" xr:uid="{00000000-0002-0000-0000-000000000000}">
      <formula1>"1,2,3,4,5"</formula1>
      <formula2>0</formula2>
    </dataValidation>
    <dataValidation type="list" allowBlank="1" sqref="I3:I48" xr:uid="{00000000-0002-0000-0000-000001000000}">
      <formula1>"1,3,5"</formula1>
      <formula2>0</formula2>
    </dataValidation>
    <dataValidation type="list" allowBlank="1" sqref="O3:O47" xr:uid="{00000000-0002-0000-0000-000002000000}">
      <formula1>"Ready Now,Ready in 1 Year,Ready in 3 Years,No Successor"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คำอธิบาย</vt:lpstr>
      <vt:lpstr>กรอกข้อมูล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Pongkrit Limsurat - 7102</cp:lastModifiedBy>
  <cp:revision>0</cp:revision>
  <dcterms:created xsi:type="dcterms:W3CDTF">2026-07-04T08:08:14Z</dcterms:created>
  <dcterms:modified xsi:type="dcterms:W3CDTF">2026-10-26T09:47:24Z</dcterms:modified>
  <dc:language>en-US</dc:language>
</cp:coreProperties>
</file>